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-analytics-internship\day-27\deliverables\"/>
    </mc:Choice>
  </mc:AlternateContent>
  <xr:revisionPtr revIDLastSave="0" documentId="8_{1D23E4AC-0480-445D-B024-FB1D1428415B}" xr6:coauthVersionLast="47" xr6:coauthVersionMax="47" xr10:uidLastSave="{00000000-0000-0000-0000-000000000000}"/>
  <bookViews>
    <workbookView xWindow="-108" yWindow="-108" windowWidth="23256" windowHeight="12456" xr2:uid="{8E27BA6A-3DDC-4B43-AE93-95B08D47B675}"/>
  </bookViews>
  <sheets>
    <sheet name="Ranking" sheetId="2" r:id="rId1"/>
    <sheet name="Pivot" sheetId="3" r:id="rId2"/>
  </sheets>
  <definedNames>
    <definedName name="ExternalData_1" localSheetId="0" hidden="1">Ranking!$A$1:$S$15</definedName>
  </definedName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1BC619-3332-4087-800D-71C948C0EE7B}" keepAlive="1" name="Query - ranking_table_aw" description="Connection to the 'ranking_table_aw' query in the workbook." type="5" refreshedVersion="8" background="1" saveData="1">
    <dbPr connection="Provider=Microsoft.Mashup.OleDb.1;Data Source=$Workbook$;Location=ranking_table_aw;Extended Properties=&quot;&quot;" command="SELECT * FROM [ranking_table_aw]"/>
  </connection>
</connections>
</file>

<file path=xl/sharedStrings.xml><?xml version="1.0" encoding="utf-8"?>
<sst xmlns="http://schemas.openxmlformats.org/spreadsheetml/2006/main" count="97" uniqueCount="52">
  <si>
    <t>Shu K Ito</t>
  </si>
  <si>
    <t>Sales Representative</t>
  </si>
  <si>
    <t>Southwest</t>
  </si>
  <si>
    <t>United States</t>
  </si>
  <si>
    <t>North America</t>
  </si>
  <si>
    <t>Lynn N Tsoflias</t>
  </si>
  <si>
    <t>Australia</t>
  </si>
  <si>
    <t>Pacific</t>
  </si>
  <si>
    <t>Ranjit R Varkey Chudukatil</t>
  </si>
  <si>
    <t>France</t>
  </si>
  <si>
    <t>Europe</t>
  </si>
  <si>
    <t>Tete A Mensa-Annan</t>
  </si>
  <si>
    <t>Northwest</t>
  </si>
  <si>
    <t>Rachel B Valdez</t>
  </si>
  <si>
    <t>Germany</t>
  </si>
  <si>
    <t>Jillian Carson</t>
  </si>
  <si>
    <t>Central</t>
  </si>
  <si>
    <t>Jae B Pak</t>
  </si>
  <si>
    <t>United Kingdom</t>
  </si>
  <si>
    <t>Pamela O Ansman-Wolfe</t>
  </si>
  <si>
    <t>Garrett R Vargas</t>
  </si>
  <si>
    <t>Canada</t>
  </si>
  <si>
    <t>José Edvaldo Saraiva</t>
  </si>
  <si>
    <t>Linda C Mitchell</t>
  </si>
  <si>
    <t>Michael G Blythe</t>
  </si>
  <si>
    <t>Northeast</t>
  </si>
  <si>
    <t>Tsvi Michael Reiter</t>
  </si>
  <si>
    <t>Southeast</t>
  </si>
  <si>
    <t>David R Campbell</t>
  </si>
  <si>
    <t>EmployeeKey</t>
  </si>
  <si>
    <t>SalesPersonName</t>
  </si>
  <si>
    <t>JobTitle</t>
  </si>
  <si>
    <t>Territory</t>
  </si>
  <si>
    <t>Country</t>
  </si>
  <si>
    <t>TerritoryGroup</t>
  </si>
  <si>
    <t>TotalRevenue</t>
  </si>
  <si>
    <t>TotalProfit</t>
  </si>
  <si>
    <t>ProfitMarginPct</t>
  </si>
  <si>
    <t>AvgOrderValue</t>
  </si>
  <si>
    <t>YoYGrowthPct</t>
  </si>
  <si>
    <t>NegOrderPct</t>
  </si>
  <si>
    <t>CompositeScore</t>
  </si>
  <si>
    <t>OverallRank</t>
  </si>
  <si>
    <t>RevenueRank</t>
  </si>
  <si>
    <t>MarginRank</t>
  </si>
  <si>
    <t>AOVRank</t>
  </si>
  <si>
    <t>GrowthRank</t>
  </si>
  <si>
    <t>RiskRank</t>
  </si>
  <si>
    <t>Grand Total</t>
  </si>
  <si>
    <t>Average of CompositeScore</t>
  </si>
  <si>
    <t>Sum of TotalRevenue</t>
  </si>
  <si>
    <t>Average of ProfitMarginPct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</si>
</sst>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NumberFormat="1"/>
    <xf numFmtId="0" fontId="2" fillId="0" borderId="0" xfId="0" applyFont="1"/>
    <xf numFmtId="164" fontId="0" fillId="0" borderId="0" xfId="0" applyNumberFormat="1"/>
    <xf numFmtId="9" fontId="0" fillId="0" borderId="0" xfId="1" applyFont="1"/>
    <xf numFmtId="0" fontId="3" fillId="0" borderId="0" xfId="0" applyFont="1"/>
    <xf numFmtId="0" fontId="3" fillId="0" borderId="0" xfId="0" applyNumberFormat="1" applyFont="1"/>
    <xf numFmtId="0" fontId="3" fillId="0" borderId="0" xfId="0" pivotButton="1" applyFont="1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72">
    <dxf>
      <numFmt numFmtId="0" formatCode="General"/>
    </dxf>
    <dxf>
      <numFmt numFmtId="0" formatCode="General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164" formatCode="[$$-409]#,##0"/>
    </dxf>
    <dxf>
      <numFmt numFmtId="164" formatCode="[$$-409]#,##0"/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-0.24994659260841701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99.71244398148" createdVersion="8" refreshedVersion="8" minRefreshableVersion="3" recordCount="14" xr:uid="{411DCF73-6679-4694-A496-86D6CBACAA60}">
  <cacheSource type="worksheet">
    <worksheetSource name="ranking_table_aw"/>
  </cacheSource>
  <cacheFields count="19">
    <cacheField name="EmployeeKey" numFmtId="0">
      <sharedItems containsSemiMixedTypes="0" containsString="0" containsNumber="1" containsInteger="1" minValue="281" maxValue="296"/>
    </cacheField>
    <cacheField name="SalesPersonName" numFmtId="0">
      <sharedItems/>
    </cacheField>
    <cacheField name="JobTitle" numFmtId="0">
      <sharedItems/>
    </cacheField>
    <cacheField name="Territory" numFmtId="0">
      <sharedItems/>
    </cacheField>
    <cacheField name="Country" numFmtId="0">
      <sharedItems/>
    </cacheField>
    <cacheField name="TerritoryGroup" numFmtId="0">
      <sharedItems count="3">
        <s v="North America"/>
        <s v="Pacific"/>
        <s v="Europe"/>
      </sharedItems>
    </cacheField>
    <cacheField name="TotalRevenue" numFmtId="0">
      <sharedItems containsSemiMixedTypes="0" containsString="0" containsNumber="1" minValue="1421810.9251999999" maxValue="10367007.4286"/>
    </cacheField>
    <cacheField name="TotalProfit" numFmtId="0">
      <sharedItems containsSemiMixedTypes="0" containsString="0" containsNumber="1" minValue="-162403.1741" maxValue="233727.93950000001"/>
    </cacheField>
    <cacheField name="ProfitMarginPct" numFmtId="0">
      <sharedItems containsSemiMixedTypes="0" containsString="0" containsNumber="1" minValue="-6.19" maxValue="3.76"/>
    </cacheField>
    <cacheField name="AvgOrderValue" numFmtId="0">
      <sharedItems containsSemiMixedTypes="0" containsString="0" containsNumber="1" minValue="13044.14" maxValue="35001.08"/>
    </cacheField>
    <cacheField name="YoYGrowthPct" numFmtId="0">
      <sharedItems containsSemiMixedTypes="0" containsString="0" containsNumber="1" minValue="-26.85" maxValue="2653.63"/>
    </cacheField>
    <cacheField name="NegOrderPct" numFmtId="0">
      <sharedItems containsSemiMixedTypes="0" containsString="0" containsNumber="1" minValue="342.33" maxValue="758.68"/>
    </cacheField>
    <cacheField name="CompositeScore" numFmtId="0">
      <sharedItems containsSemiMixedTypes="0" containsString="0" containsNumber="1" minValue="16.690000000000001" maxValue="56.41"/>
    </cacheField>
    <cacheField name="OverallRank" numFmtId="0">
      <sharedItems containsSemiMixedTypes="0" containsString="0" containsNumber="1" containsInteger="1" minValue="1" maxValue="14"/>
    </cacheField>
    <cacheField name="RevenueRank" numFmtId="0">
      <sharedItems containsSemiMixedTypes="0" containsString="0" containsNumber="1" containsInteger="1" minValue="1" maxValue="14"/>
    </cacheField>
    <cacheField name="MarginRank" numFmtId="0">
      <sharedItems containsSemiMixedTypes="0" containsString="0" containsNumber="1" containsInteger="1" minValue="1" maxValue="14"/>
    </cacheField>
    <cacheField name="AOVRank" numFmtId="0">
      <sharedItems containsSemiMixedTypes="0" containsString="0" containsNumber="1" containsInteger="1" minValue="1" maxValue="14"/>
    </cacheField>
    <cacheField name="GrowthRank" numFmtId="0">
      <sharedItems containsSemiMixedTypes="0" containsString="0" containsNumber="1" containsInteger="1" minValue="1" maxValue="14"/>
    </cacheField>
    <cacheField name="RiskRank" numFmtId="0">
      <sharedItems containsSemiMixedTypes="0" containsString="0" containsNumber="1" containsInteger="1" minValue="1" maxValue="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287"/>
    <s v="Shu K Ito"/>
    <s v="Sales Representative"/>
    <s v="Southwest"/>
    <s v="United States"/>
    <x v="0"/>
    <n v="6427005.5555999996"/>
    <n v="-162403.1741"/>
    <n v="-2.5299999999999998"/>
    <n v="26557.87"/>
    <n v="-17.809999999999999"/>
    <n v="758.68"/>
    <n v="30.92"/>
    <n v="10"/>
    <n v="6"/>
    <n v="11"/>
    <n v="2"/>
    <n v="13"/>
    <n v="1"/>
  </r>
  <r>
    <n v="296"/>
    <s v="Lynn N Tsoflias"/>
    <s v="Sales Representative"/>
    <s v="Australia"/>
    <s v="Australia"/>
    <x v="1"/>
    <n v="1421810.9251999999"/>
    <n v="-87954.443899999998"/>
    <n v="-6.19"/>
    <n v="13044.14"/>
    <n v="2653.63"/>
    <n v="712.84"/>
    <n v="22.2"/>
    <n v="12"/>
    <n v="14"/>
    <n v="14"/>
    <n v="14"/>
    <n v="1"/>
    <n v="2"/>
  </r>
  <r>
    <n v="292"/>
    <s v="Ranjit R Varkey Chudukatil"/>
    <s v="Sales Representative"/>
    <s v="France"/>
    <s v="France"/>
    <x v="2"/>
    <n v="4509888.9330000002"/>
    <n v="-37815.264000000003"/>
    <n v="-0.84"/>
    <n v="25770.79"/>
    <n v="127.76"/>
    <n v="690.86"/>
    <n v="33.659999999999997"/>
    <n v="9"/>
    <n v="8"/>
    <n v="10"/>
    <n v="3"/>
    <n v="3"/>
    <n v="3"/>
  </r>
  <r>
    <n v="293"/>
    <s v="Tete A Mensa-Annan"/>
    <s v="Sales Representative"/>
    <s v="Northwest"/>
    <s v="United States"/>
    <x v="0"/>
    <n v="2312545.6905"/>
    <n v="-60481.804600000003"/>
    <n v="-2.62"/>
    <n v="16518.18"/>
    <n v="77.11"/>
    <n v="636.42999999999995"/>
    <n v="18.98"/>
    <n v="13"/>
    <n v="12"/>
    <n v="12"/>
    <n v="11"/>
    <n v="5"/>
    <n v="4"/>
  </r>
  <r>
    <n v="295"/>
    <s v="Rachel B Valdez"/>
    <s v="Sales Representative"/>
    <s v="Germany"/>
    <s v="Germany"/>
    <x v="2"/>
    <n v="1790640.2311"/>
    <n v="-95870.757100000003"/>
    <n v="-5.35"/>
    <n v="14922"/>
    <n v="815.51"/>
    <n v="630"/>
    <n v="16.690000000000001"/>
    <n v="14"/>
    <n v="13"/>
    <n v="13"/>
    <n v="13"/>
    <n v="2"/>
    <n v="5"/>
  </r>
  <r>
    <n v="283"/>
    <s v="Jillian Carson"/>
    <s v="Sales Representative"/>
    <s v="Central"/>
    <s v="United States"/>
    <x v="0"/>
    <n v="10065803.5429"/>
    <n v="164535.61489999999"/>
    <n v="1.63"/>
    <n v="21280.77"/>
    <n v="-26.85"/>
    <n v="615.01"/>
    <n v="49.45"/>
    <n v="5"/>
    <n v="2"/>
    <n v="5"/>
    <n v="7"/>
    <n v="14"/>
    <n v="6"/>
  </r>
  <r>
    <n v="291"/>
    <s v="Jae B Pak"/>
    <s v="Sales Representative"/>
    <s v="United Kingdom"/>
    <s v="United Kingdom"/>
    <x v="2"/>
    <n v="8503338.6471999995"/>
    <n v="233727.93950000001"/>
    <n v="2.75"/>
    <n v="24434.880000000001"/>
    <n v="-14.31"/>
    <n v="595.4"/>
    <n v="52.12"/>
    <n v="3"/>
    <n v="4"/>
    <n v="2"/>
    <n v="5"/>
    <n v="12"/>
    <n v="7"/>
  </r>
  <r>
    <n v="286"/>
    <s v="Pamela O Ansman-Wolfe"/>
    <s v="Sales Representative"/>
    <s v="Northwest"/>
    <s v="United States"/>
    <x v="0"/>
    <n v="3325102.5951999999"/>
    <n v="125116.0226"/>
    <n v="3.76"/>
    <n v="35001.08"/>
    <n v="63.27"/>
    <n v="584.21"/>
    <n v="53.31"/>
    <n v="2"/>
    <n v="11"/>
    <n v="1"/>
    <n v="1"/>
    <n v="6"/>
    <n v="8"/>
  </r>
  <r>
    <n v="284"/>
    <s v="Garrett R Vargas"/>
    <s v="Sales Representative"/>
    <s v="Canada"/>
    <s v="Canada"/>
    <x v="0"/>
    <n v="3609447.2163"/>
    <n v="-19970.8092"/>
    <n v="-0.55000000000000004"/>
    <n v="15424.99"/>
    <n v="16.29"/>
    <n v="574.36"/>
    <n v="27.57"/>
    <n v="11"/>
    <n v="10"/>
    <n v="9"/>
    <n v="12"/>
    <n v="8"/>
    <n v="9"/>
  </r>
  <r>
    <n v="288"/>
    <s v="José Edvaldo Saraiva"/>
    <s v="Sales Representative"/>
    <s v="Canada"/>
    <s v="Canada"/>
    <x v="0"/>
    <n v="5926418.3574000001"/>
    <n v="26707.9797"/>
    <n v="0.45"/>
    <n v="21868.7"/>
    <n v="87.87"/>
    <n v="571.96"/>
    <n v="41.28"/>
    <n v="8"/>
    <n v="7"/>
    <n v="8"/>
    <n v="6"/>
    <n v="4"/>
    <n v="10"/>
  </r>
  <r>
    <n v="282"/>
    <s v="Linda C Mitchell"/>
    <s v="Sales Representative"/>
    <s v="Southwest"/>
    <s v="United States"/>
    <x v="0"/>
    <n v="10367007.4286"/>
    <n v="172016.1153"/>
    <n v="1.66"/>
    <n v="24801.45"/>
    <n v="-2.69"/>
    <n v="555.98"/>
    <n v="56.41"/>
    <n v="1"/>
    <n v="1"/>
    <n v="4"/>
    <n v="4"/>
    <n v="9"/>
    <n v="11"/>
  </r>
  <r>
    <n v="281"/>
    <s v="Michael G Blythe"/>
    <s v="Sales Representative"/>
    <s v="Northeast"/>
    <s v="United States"/>
    <x v="0"/>
    <n v="9293903.0055"/>
    <n v="122069.41929999999"/>
    <n v="1.31"/>
    <n v="20653.12"/>
    <n v="-6.44"/>
    <n v="547.55999999999995"/>
    <n v="49.9"/>
    <n v="4"/>
    <n v="3"/>
    <n v="7"/>
    <n v="8"/>
    <n v="11"/>
    <n v="12"/>
  </r>
  <r>
    <n v="285"/>
    <s v="Tsvi Michael Reiter"/>
    <s v="Sales Representative"/>
    <s v="Southeast"/>
    <s v="United States"/>
    <x v="0"/>
    <n v="7171012.7514000004"/>
    <n v="110955.36040000001"/>
    <n v="1.55"/>
    <n v="16715.650000000001"/>
    <n v="-2.75"/>
    <n v="432.87"/>
    <n v="47.59"/>
    <n v="7"/>
    <n v="5"/>
    <n v="6"/>
    <n v="10"/>
    <n v="10"/>
    <n v="13"/>
  </r>
  <r>
    <n v="289"/>
    <s v="David R Campbell"/>
    <s v="Sales Representative"/>
    <s v="Northwest"/>
    <s v="United States"/>
    <x v="0"/>
    <n v="3729945.3500999999"/>
    <n v="67325.627699999997"/>
    <n v="1.81"/>
    <n v="19735.16"/>
    <n v="25.96"/>
    <n v="342.33"/>
    <n v="47.73"/>
    <n v="6"/>
    <n v="9"/>
    <n v="3"/>
    <n v="9"/>
    <n v="7"/>
    <n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92442-CA09-470F-9DFA-E4E61078122C}" name="Ranking_Pivot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7" firstHeaderRow="0" firstDataRow="1" firstDataCol="1"/>
  <pivotFields count="19"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3">
        <item x="2"/>
        <item x="0"/>
        <item x="1"/>
      </items>
    </pivotField>
    <pivotField dataField="1" compact="0" outline="0" subtotalTop="0" showAll="0" defaultSubtotal="0"/>
    <pivotField compact="0" outline="0" subtotalTop="0" showAll="0" defaultSubtotal="0"/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ompositeScore" fld="12" subtotal="average" baseField="0" baseItem="0"/>
    <dataField name="Sum of TotalRevenue" fld="6" baseField="0" baseItem="0"/>
    <dataField name="Average of ProfitMarginPct" fld="8" subtotal="average" baseField="0" baseItem="0"/>
  </dataFields>
  <formats count="6">
    <format dxfId="9">
      <pivotArea type="all" dataOnly="0" outline="0" fieldPosition="0"/>
    </format>
    <format dxfId="6">
      <pivotArea outline="0" collapsedLevelsAreSubtotals="1" fieldPosition="0"/>
    </format>
    <format dxfId="5">
      <pivotArea field="5" type="button" dataOnly="0" labelOnly="1" outline="0" axis="axisRow" fieldPosition="0"/>
    </format>
    <format dxfId="4">
      <pivotArea dataOnly="0" labelOnly="1" outline="0" fieldPosition="0">
        <references count="1">
          <reference field="5" count="0"/>
        </references>
      </pivotArea>
    </format>
    <format dxfId="3">
      <pivotArea dataOnly="0" labelOnly="1" grandRow="1" outline="0" fieldPosition="0"/>
    </format>
    <format dxfId="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C37D009-A36F-4B71-AACB-A294D02ADDD4}" autoFormatId="16" applyNumberFormats="0" applyBorderFormats="0" applyFontFormats="0" applyPatternFormats="0" applyAlignmentFormats="0" applyWidthHeightFormats="0">
  <queryTableRefresh nextId="20">
    <queryTableFields count="1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8E8009-E05C-4A59-B03F-C877A49C2394}" name="ranking_table_aw" displayName="ranking_table_aw" ref="A1:S15" tableType="queryTable" totalsRowShown="0">
  <autoFilter ref="A1:S15" xr:uid="{C98E8009-E05C-4A59-B03F-C877A49C2394}"/>
  <tableColumns count="19">
    <tableColumn id="1" xr3:uid="{B4B54DB9-3049-4E20-9869-A7C3B240A6A0}" uniqueName="1" name="EmployeeKey" queryTableFieldId="1"/>
    <tableColumn id="2" xr3:uid="{C0451408-58C0-4045-A378-0A95259887EF}" uniqueName="2" name="SalesPersonName" queryTableFieldId="2" dataDxfId="71"/>
    <tableColumn id="3" xr3:uid="{726C49B3-81DB-4BDF-8BF3-5EE86173C065}" uniqueName="3" name="JobTitle" queryTableFieldId="3" dataDxfId="70"/>
    <tableColumn id="4" xr3:uid="{3B95B5E0-BDBF-4EAF-8F2A-00E9A3A2F602}" uniqueName="4" name="Territory" queryTableFieldId="4" dataDxfId="69"/>
    <tableColumn id="5" xr3:uid="{A3D4F247-4F3F-43BF-BE1B-8E9FD75E52A6}" uniqueName="5" name="Country" queryTableFieldId="5" dataDxfId="68"/>
    <tableColumn id="6" xr3:uid="{1E2C4290-5D65-4057-A357-2A1A611E7A0D}" uniqueName="6" name="TerritoryGroup" queryTableFieldId="6" dataDxfId="67"/>
    <tableColumn id="7" xr3:uid="{18FD0B38-ADF1-4583-957D-F73B3B0433A3}" uniqueName="7" name="TotalRevenue" queryTableFieldId="7" dataDxfId="11"/>
    <tableColumn id="8" xr3:uid="{FE9A3F41-9E31-492E-AE30-16CE0152C437}" uniqueName="8" name="TotalProfit" queryTableFieldId="8" dataDxfId="10"/>
    <tableColumn id="9" xr3:uid="{5F6713A5-B969-4373-A6E2-DF3B0F0BA0DC}" uniqueName="9" name="ProfitMarginPct" queryTableFieldId="9" dataCellStyle="Percent"/>
    <tableColumn id="10" xr3:uid="{5B08D2F0-67F1-4E21-9C01-3BFF9CB69AB4}" uniqueName="10" name="AvgOrderValue" queryTableFieldId="10"/>
    <tableColumn id="11" xr3:uid="{FE36FBD2-3B84-4CC3-90D0-423E75BF6FFB}" uniqueName="11" name="YoYGrowthPct" queryTableFieldId="11" dataDxfId="1" dataCellStyle="Percent"/>
    <tableColumn id="12" xr3:uid="{0F10CB3A-42B1-4F89-B19C-839662F05124}" uniqueName="12" name="NegOrderPct" queryTableFieldId="12" dataDxfId="0" dataCellStyle="Percent"/>
    <tableColumn id="13" xr3:uid="{6DC2B6FB-F205-4DFD-9B70-D7C4E3B7A073}" uniqueName="13" name="CompositeScore" queryTableFieldId="13"/>
    <tableColumn id="14" xr3:uid="{12B74B84-12F4-472B-84F8-0A7F4827956B}" uniqueName="14" name="OverallRank" queryTableFieldId="14"/>
    <tableColumn id="15" xr3:uid="{D5873D59-1708-4B60-8145-28014E9F9A5E}" uniqueName="15" name="RevenueRank" queryTableFieldId="15"/>
    <tableColumn id="16" xr3:uid="{48FC18AD-E252-4984-AAEA-884604235D80}" uniqueName="16" name="MarginRank" queryTableFieldId="16"/>
    <tableColumn id="17" xr3:uid="{A217FAED-EB32-4C3C-88CE-22097E5FF48A}" uniqueName="17" name="AOVRank" queryTableFieldId="17"/>
    <tableColumn id="18" xr3:uid="{E58EC93B-F6C3-4234-B181-846ACEC722AD}" uniqueName="18" name="GrowthRank" queryTableFieldId="18"/>
    <tableColumn id="19" xr3:uid="{73546B55-C4BB-4156-A8CC-61F8E548BE23}" uniqueName="19" name="RiskRank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FC1EC-DDB1-44E5-AD02-F2C7E8A106B7}">
  <dimension ref="A1:S15"/>
  <sheetViews>
    <sheetView tabSelected="1" zoomScale="97" zoomScaleNormal="140" workbookViewId="0">
      <selection activeCell="N23" sqref="N23"/>
    </sheetView>
  </sheetViews>
  <sheetFormatPr defaultRowHeight="14.4" x14ac:dyDescent="0.3"/>
  <cols>
    <col min="1" max="1" width="10.77734375" bestFit="1" customWidth="1"/>
    <col min="2" max="2" width="22.5546875" bestFit="1" customWidth="1"/>
    <col min="3" max="3" width="18" bestFit="1" customWidth="1"/>
    <col min="4" max="5" width="14" bestFit="1" customWidth="1"/>
    <col min="6" max="6" width="16.21875" bestFit="1" customWidth="1"/>
    <col min="7" max="7" width="15.21875" bestFit="1" customWidth="1"/>
    <col min="8" max="8" width="13" bestFit="1" customWidth="1"/>
    <col min="9" max="9" width="15" customWidth="1"/>
    <col min="10" max="10" width="16.5546875" bestFit="1" customWidth="1"/>
    <col min="11" max="11" width="15.77734375" bestFit="1" customWidth="1"/>
    <col min="12" max="12" width="14.44140625" bestFit="1" customWidth="1"/>
    <col min="13" max="13" width="17.5546875" bestFit="1" customWidth="1"/>
    <col min="14" max="14" width="13.77734375" bestFit="1" customWidth="1"/>
    <col min="15" max="15" width="15.21875" bestFit="1" customWidth="1"/>
    <col min="16" max="16" width="13.88671875" bestFit="1" customWidth="1"/>
    <col min="17" max="17" width="11.77734375" bestFit="1" customWidth="1"/>
    <col min="18" max="18" width="14.109375" bestFit="1" customWidth="1"/>
    <col min="19" max="19" width="11.77734375" bestFit="1" customWidth="1"/>
  </cols>
  <sheetData>
    <row r="1" spans="1:19" x14ac:dyDescent="0.3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s="4" t="s">
        <v>39</v>
      </c>
      <c r="L1" s="4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</row>
    <row r="2" spans="1:19" x14ac:dyDescent="0.3">
      <c r="A2">
        <v>287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3">
        <v>6427005.5555999996</v>
      </c>
      <c r="H2" s="3">
        <v>-162403.1741</v>
      </c>
      <c r="I2" s="4">
        <v>-2.5299999999999998</v>
      </c>
      <c r="J2">
        <v>26557.87</v>
      </c>
      <c r="K2" s="8">
        <v>-17.809999999999999</v>
      </c>
      <c r="L2" s="8">
        <v>758.68</v>
      </c>
      <c r="M2">
        <v>30.92</v>
      </c>
      <c r="N2">
        <v>10</v>
      </c>
      <c r="O2">
        <v>6</v>
      </c>
      <c r="P2">
        <v>11</v>
      </c>
      <c r="Q2">
        <v>2</v>
      </c>
      <c r="R2">
        <v>13</v>
      </c>
      <c r="S2">
        <v>1</v>
      </c>
    </row>
    <row r="3" spans="1:19" x14ac:dyDescent="0.3">
      <c r="A3">
        <v>296</v>
      </c>
      <c r="B3" s="1" t="s">
        <v>5</v>
      </c>
      <c r="C3" s="1" t="s">
        <v>1</v>
      </c>
      <c r="D3" s="1" t="s">
        <v>6</v>
      </c>
      <c r="E3" s="1" t="s">
        <v>6</v>
      </c>
      <c r="F3" s="1" t="s">
        <v>7</v>
      </c>
      <c r="G3" s="3">
        <v>1421810.9251999999</v>
      </c>
      <c r="H3" s="3">
        <v>-87954.443899999998</v>
      </c>
      <c r="I3" s="4">
        <v>-6.19</v>
      </c>
      <c r="J3">
        <v>13044.14</v>
      </c>
      <c r="K3" s="8">
        <v>2653.63</v>
      </c>
      <c r="L3" s="8">
        <v>712.84</v>
      </c>
      <c r="M3">
        <v>22.2</v>
      </c>
      <c r="N3">
        <v>12</v>
      </c>
      <c r="O3">
        <v>14</v>
      </c>
      <c r="P3">
        <v>14</v>
      </c>
      <c r="Q3">
        <v>14</v>
      </c>
      <c r="R3">
        <v>1</v>
      </c>
      <c r="S3">
        <v>2</v>
      </c>
    </row>
    <row r="4" spans="1:19" x14ac:dyDescent="0.3">
      <c r="A4">
        <v>292</v>
      </c>
      <c r="B4" s="1" t="s">
        <v>8</v>
      </c>
      <c r="C4" s="1" t="s">
        <v>1</v>
      </c>
      <c r="D4" s="1" t="s">
        <v>9</v>
      </c>
      <c r="E4" s="1" t="s">
        <v>9</v>
      </c>
      <c r="F4" s="1" t="s">
        <v>10</v>
      </c>
      <c r="G4" s="3">
        <v>4509888.9330000002</v>
      </c>
      <c r="H4" s="3">
        <v>-37815.264000000003</v>
      </c>
      <c r="I4" s="4">
        <v>-0.84</v>
      </c>
      <c r="J4">
        <v>25770.79</v>
      </c>
      <c r="K4" s="8">
        <v>127.76</v>
      </c>
      <c r="L4" s="8">
        <v>690.86</v>
      </c>
      <c r="M4">
        <v>33.659999999999997</v>
      </c>
      <c r="N4">
        <v>9</v>
      </c>
      <c r="O4">
        <v>8</v>
      </c>
      <c r="P4">
        <v>10</v>
      </c>
      <c r="Q4">
        <v>3</v>
      </c>
      <c r="R4">
        <v>3</v>
      </c>
      <c r="S4">
        <v>3</v>
      </c>
    </row>
    <row r="5" spans="1:19" x14ac:dyDescent="0.3">
      <c r="A5">
        <v>293</v>
      </c>
      <c r="B5" s="1" t="s">
        <v>11</v>
      </c>
      <c r="C5" s="1" t="s">
        <v>1</v>
      </c>
      <c r="D5" s="1" t="s">
        <v>12</v>
      </c>
      <c r="E5" s="1" t="s">
        <v>3</v>
      </c>
      <c r="F5" s="1" t="s">
        <v>4</v>
      </c>
      <c r="G5" s="3">
        <v>2312545.6905</v>
      </c>
      <c r="H5" s="3">
        <v>-60481.804600000003</v>
      </c>
      <c r="I5" s="4">
        <v>-2.62</v>
      </c>
      <c r="J5">
        <v>16518.18</v>
      </c>
      <c r="K5" s="8">
        <v>77.11</v>
      </c>
      <c r="L5" s="8">
        <v>636.42999999999995</v>
      </c>
      <c r="M5">
        <v>18.98</v>
      </c>
      <c r="N5">
        <v>13</v>
      </c>
      <c r="O5">
        <v>12</v>
      </c>
      <c r="P5">
        <v>12</v>
      </c>
      <c r="Q5">
        <v>11</v>
      </c>
      <c r="R5">
        <v>5</v>
      </c>
      <c r="S5">
        <v>4</v>
      </c>
    </row>
    <row r="6" spans="1:19" x14ac:dyDescent="0.3">
      <c r="A6">
        <v>295</v>
      </c>
      <c r="B6" s="1" t="s">
        <v>13</v>
      </c>
      <c r="C6" s="1" t="s">
        <v>1</v>
      </c>
      <c r="D6" s="1" t="s">
        <v>14</v>
      </c>
      <c r="E6" s="1" t="s">
        <v>14</v>
      </c>
      <c r="F6" s="1" t="s">
        <v>10</v>
      </c>
      <c r="G6" s="3">
        <v>1790640.2311</v>
      </c>
      <c r="H6" s="3">
        <v>-95870.757100000003</v>
      </c>
      <c r="I6" s="4">
        <v>-5.35</v>
      </c>
      <c r="J6">
        <v>14922</v>
      </c>
      <c r="K6" s="8">
        <v>815.51</v>
      </c>
      <c r="L6" s="8">
        <v>630</v>
      </c>
      <c r="M6">
        <v>16.690000000000001</v>
      </c>
      <c r="N6">
        <v>14</v>
      </c>
      <c r="O6">
        <v>13</v>
      </c>
      <c r="P6">
        <v>13</v>
      </c>
      <c r="Q6">
        <v>13</v>
      </c>
      <c r="R6">
        <v>2</v>
      </c>
      <c r="S6">
        <v>5</v>
      </c>
    </row>
    <row r="7" spans="1:19" x14ac:dyDescent="0.3">
      <c r="A7">
        <v>283</v>
      </c>
      <c r="B7" s="1" t="s">
        <v>15</v>
      </c>
      <c r="C7" s="1" t="s">
        <v>1</v>
      </c>
      <c r="D7" s="1" t="s">
        <v>16</v>
      </c>
      <c r="E7" s="1" t="s">
        <v>3</v>
      </c>
      <c r="F7" s="1" t="s">
        <v>4</v>
      </c>
      <c r="G7" s="3">
        <v>10065803.5429</v>
      </c>
      <c r="H7" s="3">
        <v>164535.61489999999</v>
      </c>
      <c r="I7" s="4">
        <v>1.63</v>
      </c>
      <c r="J7">
        <v>21280.77</v>
      </c>
      <c r="K7" s="8">
        <v>-26.85</v>
      </c>
      <c r="L7" s="8">
        <v>615.01</v>
      </c>
      <c r="M7">
        <v>49.45</v>
      </c>
      <c r="N7" s="2">
        <v>5</v>
      </c>
      <c r="O7">
        <v>2</v>
      </c>
      <c r="P7">
        <v>5</v>
      </c>
      <c r="Q7">
        <v>7</v>
      </c>
      <c r="R7">
        <v>14</v>
      </c>
      <c r="S7">
        <v>6</v>
      </c>
    </row>
    <row r="8" spans="1:19" x14ac:dyDescent="0.3">
      <c r="A8">
        <v>291</v>
      </c>
      <c r="B8" s="1" t="s">
        <v>17</v>
      </c>
      <c r="C8" s="1" t="s">
        <v>1</v>
      </c>
      <c r="D8" s="1" t="s">
        <v>18</v>
      </c>
      <c r="E8" s="1" t="s">
        <v>18</v>
      </c>
      <c r="F8" s="1" t="s">
        <v>10</v>
      </c>
      <c r="G8" s="3">
        <v>8503338.6471999995</v>
      </c>
      <c r="H8" s="3">
        <v>233727.93950000001</v>
      </c>
      <c r="I8" s="4">
        <v>2.75</v>
      </c>
      <c r="J8">
        <v>24434.880000000001</v>
      </c>
      <c r="K8" s="8">
        <v>-14.31</v>
      </c>
      <c r="L8" s="8">
        <v>595.4</v>
      </c>
      <c r="M8">
        <v>52.12</v>
      </c>
      <c r="N8" s="2">
        <v>3</v>
      </c>
      <c r="O8">
        <v>4</v>
      </c>
      <c r="P8">
        <v>2</v>
      </c>
      <c r="Q8">
        <v>5</v>
      </c>
      <c r="R8">
        <v>12</v>
      </c>
      <c r="S8">
        <v>7</v>
      </c>
    </row>
    <row r="9" spans="1:19" x14ac:dyDescent="0.3">
      <c r="A9">
        <v>286</v>
      </c>
      <c r="B9" s="1" t="s">
        <v>19</v>
      </c>
      <c r="C9" s="1" t="s">
        <v>1</v>
      </c>
      <c r="D9" s="1" t="s">
        <v>12</v>
      </c>
      <c r="E9" s="1" t="s">
        <v>3</v>
      </c>
      <c r="F9" s="1" t="s">
        <v>4</v>
      </c>
      <c r="G9" s="3">
        <v>3325102.5951999999</v>
      </c>
      <c r="H9" s="3">
        <v>125116.0226</v>
      </c>
      <c r="I9" s="4">
        <v>3.76</v>
      </c>
      <c r="J9">
        <v>35001.08</v>
      </c>
      <c r="K9" s="8">
        <v>63.27</v>
      </c>
      <c r="L9" s="8">
        <v>584.21</v>
      </c>
      <c r="M9">
        <v>53.31</v>
      </c>
      <c r="N9" s="2">
        <v>2</v>
      </c>
      <c r="O9">
        <v>11</v>
      </c>
      <c r="P9">
        <v>1</v>
      </c>
      <c r="Q9">
        <v>1</v>
      </c>
      <c r="R9">
        <v>6</v>
      </c>
      <c r="S9">
        <v>8</v>
      </c>
    </row>
    <row r="10" spans="1:19" x14ac:dyDescent="0.3">
      <c r="A10">
        <v>284</v>
      </c>
      <c r="B10" s="1" t="s">
        <v>20</v>
      </c>
      <c r="C10" s="1" t="s">
        <v>1</v>
      </c>
      <c r="D10" s="1" t="s">
        <v>21</v>
      </c>
      <c r="E10" s="1" t="s">
        <v>21</v>
      </c>
      <c r="F10" s="1" t="s">
        <v>4</v>
      </c>
      <c r="G10" s="3">
        <v>3609447.2163</v>
      </c>
      <c r="H10" s="3">
        <v>-19970.8092</v>
      </c>
      <c r="I10" s="4">
        <v>-0.55000000000000004</v>
      </c>
      <c r="J10">
        <v>15424.99</v>
      </c>
      <c r="K10" s="8">
        <v>16.29</v>
      </c>
      <c r="L10" s="8">
        <v>574.36</v>
      </c>
      <c r="M10">
        <v>27.57</v>
      </c>
      <c r="N10" s="2">
        <v>11</v>
      </c>
      <c r="O10">
        <v>10</v>
      </c>
      <c r="P10">
        <v>9</v>
      </c>
      <c r="Q10">
        <v>12</v>
      </c>
      <c r="R10">
        <v>8</v>
      </c>
      <c r="S10">
        <v>9</v>
      </c>
    </row>
    <row r="11" spans="1:19" x14ac:dyDescent="0.3">
      <c r="A11">
        <v>288</v>
      </c>
      <c r="B11" s="1" t="s">
        <v>22</v>
      </c>
      <c r="C11" s="1" t="s">
        <v>1</v>
      </c>
      <c r="D11" s="1" t="s">
        <v>21</v>
      </c>
      <c r="E11" s="1" t="s">
        <v>21</v>
      </c>
      <c r="F11" s="1" t="s">
        <v>4</v>
      </c>
      <c r="G11" s="3">
        <v>5926418.3574000001</v>
      </c>
      <c r="H11" s="3">
        <v>26707.9797</v>
      </c>
      <c r="I11" s="4">
        <v>0.45</v>
      </c>
      <c r="J11">
        <v>21868.7</v>
      </c>
      <c r="K11" s="8">
        <v>87.87</v>
      </c>
      <c r="L11" s="8">
        <v>571.96</v>
      </c>
      <c r="M11">
        <v>41.28</v>
      </c>
      <c r="N11" s="2">
        <v>8</v>
      </c>
      <c r="O11">
        <v>7</v>
      </c>
      <c r="P11">
        <v>8</v>
      </c>
      <c r="Q11">
        <v>6</v>
      </c>
      <c r="R11">
        <v>4</v>
      </c>
      <c r="S11">
        <v>10</v>
      </c>
    </row>
    <row r="12" spans="1:19" x14ac:dyDescent="0.3">
      <c r="A12">
        <v>282</v>
      </c>
      <c r="B12" s="1" t="s">
        <v>23</v>
      </c>
      <c r="C12" s="1" t="s">
        <v>1</v>
      </c>
      <c r="D12" s="1" t="s">
        <v>2</v>
      </c>
      <c r="E12" s="1" t="s">
        <v>3</v>
      </c>
      <c r="F12" s="1" t="s">
        <v>4</v>
      </c>
      <c r="G12" s="3">
        <v>10367007.4286</v>
      </c>
      <c r="H12" s="3">
        <v>172016.1153</v>
      </c>
      <c r="I12" s="4">
        <v>1.66</v>
      </c>
      <c r="J12">
        <v>24801.45</v>
      </c>
      <c r="K12" s="8">
        <v>-2.69</v>
      </c>
      <c r="L12" s="8">
        <v>555.98</v>
      </c>
      <c r="M12">
        <v>56.41</v>
      </c>
      <c r="N12" s="2">
        <v>1</v>
      </c>
      <c r="O12">
        <v>1</v>
      </c>
      <c r="P12">
        <v>4</v>
      </c>
      <c r="Q12">
        <v>4</v>
      </c>
      <c r="R12">
        <v>9</v>
      </c>
      <c r="S12">
        <v>11</v>
      </c>
    </row>
    <row r="13" spans="1:19" x14ac:dyDescent="0.3">
      <c r="A13">
        <v>281</v>
      </c>
      <c r="B13" s="1" t="s">
        <v>24</v>
      </c>
      <c r="C13" s="1" t="s">
        <v>1</v>
      </c>
      <c r="D13" s="1" t="s">
        <v>25</v>
      </c>
      <c r="E13" s="1" t="s">
        <v>3</v>
      </c>
      <c r="F13" s="1" t="s">
        <v>4</v>
      </c>
      <c r="G13" s="3">
        <v>9293903.0055</v>
      </c>
      <c r="H13" s="3">
        <v>122069.41929999999</v>
      </c>
      <c r="I13" s="4">
        <v>1.31</v>
      </c>
      <c r="J13">
        <v>20653.12</v>
      </c>
      <c r="K13" s="8">
        <v>-6.44</v>
      </c>
      <c r="L13" s="8">
        <v>547.55999999999995</v>
      </c>
      <c r="M13">
        <v>49.9</v>
      </c>
      <c r="N13" s="2">
        <v>4</v>
      </c>
      <c r="O13">
        <v>3</v>
      </c>
      <c r="P13">
        <v>7</v>
      </c>
      <c r="Q13">
        <v>8</v>
      </c>
      <c r="R13">
        <v>11</v>
      </c>
      <c r="S13">
        <v>12</v>
      </c>
    </row>
    <row r="14" spans="1:19" x14ac:dyDescent="0.3">
      <c r="A14">
        <v>285</v>
      </c>
      <c r="B14" s="1" t="s">
        <v>26</v>
      </c>
      <c r="C14" s="1" t="s">
        <v>1</v>
      </c>
      <c r="D14" s="1" t="s">
        <v>27</v>
      </c>
      <c r="E14" s="1" t="s">
        <v>3</v>
      </c>
      <c r="F14" s="1" t="s">
        <v>4</v>
      </c>
      <c r="G14" s="3">
        <v>7171012.7514000004</v>
      </c>
      <c r="H14" s="3">
        <v>110955.36040000001</v>
      </c>
      <c r="I14" s="4">
        <v>1.55</v>
      </c>
      <c r="J14">
        <v>16715.650000000001</v>
      </c>
      <c r="K14" s="8">
        <v>-2.75</v>
      </c>
      <c r="L14" s="8">
        <v>432.87</v>
      </c>
      <c r="M14">
        <v>47.59</v>
      </c>
      <c r="N14" s="2">
        <v>7</v>
      </c>
      <c r="O14">
        <v>5</v>
      </c>
      <c r="P14">
        <v>6</v>
      </c>
      <c r="Q14">
        <v>10</v>
      </c>
      <c r="R14">
        <v>10</v>
      </c>
      <c r="S14">
        <v>13</v>
      </c>
    </row>
    <row r="15" spans="1:19" x14ac:dyDescent="0.3">
      <c r="A15">
        <v>289</v>
      </c>
      <c r="B15" s="1" t="s">
        <v>28</v>
      </c>
      <c r="C15" s="1" t="s">
        <v>1</v>
      </c>
      <c r="D15" s="1" t="s">
        <v>12</v>
      </c>
      <c r="E15" s="1" t="s">
        <v>3</v>
      </c>
      <c r="F15" s="1" t="s">
        <v>4</v>
      </c>
      <c r="G15" s="3">
        <v>3729945.3500999999</v>
      </c>
      <c r="H15" s="3">
        <v>67325.627699999997</v>
      </c>
      <c r="I15" s="4">
        <v>1.81</v>
      </c>
      <c r="J15">
        <v>19735.16</v>
      </c>
      <c r="K15" s="8">
        <v>25.96</v>
      </c>
      <c r="L15" s="8">
        <v>342.33</v>
      </c>
      <c r="M15">
        <v>47.73</v>
      </c>
      <c r="N15" s="2">
        <v>6</v>
      </c>
      <c r="O15">
        <v>9</v>
      </c>
      <c r="P15">
        <v>3</v>
      </c>
      <c r="Q15">
        <v>9</v>
      </c>
      <c r="R15">
        <v>7</v>
      </c>
      <c r="S15">
        <v>14</v>
      </c>
    </row>
  </sheetData>
  <conditionalFormatting sqref="M2:M15">
    <cfRule type="cellIs" dxfId="30" priority="10" operator="lessThan">
      <formula>50</formula>
    </cfRule>
    <cfRule type="cellIs" dxfId="29" priority="9" operator="between">
      <formula>50</formula>
      <formula>75</formula>
    </cfRule>
    <cfRule type="cellIs" dxfId="28" priority="8" operator="greaterThan">
      <formula>75</formula>
    </cfRule>
  </conditionalFormatting>
  <conditionalFormatting sqref="I2:I15">
    <cfRule type="cellIs" dxfId="27" priority="7" operator="greaterThan">
      <formula>17</formula>
    </cfRule>
    <cfRule type="cellIs" dxfId="26" priority="6" operator="between">
      <formula>12</formula>
      <formula>17</formula>
    </cfRule>
  </conditionalFormatting>
  <conditionalFormatting sqref="N2:N15">
    <cfRule type="cellIs" dxfId="12" priority="5" operator="lessThan">
      <formula>3</formula>
    </cfRule>
    <cfRule type="cellIs" dxfId="13" priority="4" operator="between">
      <formula>1</formula>
      <formula>3</formula>
    </cfRule>
    <cfRule type="cellIs" dxfId="14" priority="3" operator="between">
      <formula>4</formula>
      <formula>6</formula>
    </cfRule>
    <cfRule type="cellIs" dxfId="15" priority="2" operator="greaterThan">
      <formula>6</formula>
    </cfRule>
    <cfRule type="cellIs" dxfId="16" priority="1" operator="greaterThan">
      <formula>6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8C274-18DA-4DE5-B224-9E41D4DE4B15}">
  <dimension ref="A3:D7"/>
  <sheetViews>
    <sheetView workbookViewId="0">
      <selection activeCell="B4" sqref="B4:B6"/>
    </sheetView>
  </sheetViews>
  <sheetFormatPr defaultRowHeight="14.4" x14ac:dyDescent="0.3"/>
  <cols>
    <col min="1" max="1" width="15.77734375" bestFit="1" customWidth="1"/>
    <col min="2" max="2" width="24.5546875" bestFit="1" customWidth="1"/>
    <col min="3" max="3" width="19.21875" bestFit="1" customWidth="1"/>
    <col min="4" max="4" width="27.5546875" bestFit="1" customWidth="1"/>
  </cols>
  <sheetData>
    <row r="3" spans="1:4" x14ac:dyDescent="0.3">
      <c r="A3" s="7" t="s">
        <v>34</v>
      </c>
      <c r="B3" s="5" t="s">
        <v>49</v>
      </c>
      <c r="C3" s="5" t="s">
        <v>50</v>
      </c>
      <c r="D3" s="5" t="s">
        <v>51</v>
      </c>
    </row>
    <row r="4" spans="1:4" x14ac:dyDescent="0.3">
      <c r="A4" s="5" t="s">
        <v>10</v>
      </c>
      <c r="B4" s="6">
        <v>34.156666666666666</v>
      </c>
      <c r="C4" s="6">
        <v>14803867.8113</v>
      </c>
      <c r="D4" s="6">
        <v>-1.1466666666666665</v>
      </c>
    </row>
    <row r="5" spans="1:4" x14ac:dyDescent="0.3">
      <c r="A5" s="5" t="s">
        <v>4</v>
      </c>
      <c r="B5" s="6">
        <v>42.314</v>
      </c>
      <c r="C5" s="6">
        <v>62228191.493499994</v>
      </c>
      <c r="D5" s="6">
        <v>0.64699999999999991</v>
      </c>
    </row>
    <row r="6" spans="1:4" x14ac:dyDescent="0.3">
      <c r="A6" s="5" t="s">
        <v>7</v>
      </c>
      <c r="B6" s="6">
        <v>22.2</v>
      </c>
      <c r="C6" s="6">
        <v>1421810.9251999999</v>
      </c>
      <c r="D6" s="6">
        <v>-6.19</v>
      </c>
    </row>
    <row r="7" spans="1:4" x14ac:dyDescent="0.3">
      <c r="A7" s="5" t="s">
        <v>48</v>
      </c>
      <c r="B7" s="6">
        <v>39.129285714285722</v>
      </c>
      <c r="C7" s="6">
        <v>78453870.229999989</v>
      </c>
      <c r="D7" s="6">
        <v>-0.22571428571428573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FBB8A4-63C5-4003-B084-8A70000F3C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Ranking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SHETTY PRASANNA  DINAKARA PRABHAVATHI</dc:creator>
  <cp:lastModifiedBy>SHETTY PRASANNA  DINAKARA PRABHAVATHI</cp:lastModifiedBy>
  <dcterms:created xsi:type="dcterms:W3CDTF">2026-10-04T10:38:59Z</dcterms:created>
  <dcterms:modified xsi:type="dcterms:W3CDTF">2026-10-04T11:48:54Z</dcterms:modified>
</cp:coreProperties>
</file>