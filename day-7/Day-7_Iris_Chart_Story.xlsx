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7\"/>
    </mc:Choice>
  </mc:AlternateContent>
  <xr:revisionPtr revIDLastSave="0" documentId="8_{6E85BBB2-0AF4-4D5B-8417-90F9BFED717A}" xr6:coauthVersionLast="47" xr6:coauthVersionMax="47" xr10:uidLastSave="{00000000-0000-0000-0000-000000000000}"/>
  <bookViews>
    <workbookView xWindow="-108" yWindow="-108" windowWidth="23256" windowHeight="12456" activeTab="3" xr2:uid="{21363C36-5E58-4270-BE2D-9FBC37D22B6D}"/>
  </bookViews>
  <sheets>
    <sheet name="Data" sheetId="2" r:id="rId1"/>
    <sheet name="Summary" sheetId="1" r:id="rId2"/>
    <sheet name="Charts" sheetId="3" r:id="rId3"/>
    <sheet name="Story" sheetId="4" r:id="rId4"/>
  </sheets>
  <definedNames>
    <definedName name="ExternalData_1" localSheetId="0" hidden="1">Data!$A$1:$E$151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B4" i="1"/>
  <c r="C4" i="1"/>
  <c r="D4" i="1"/>
  <c r="E4" i="1"/>
  <c r="F4" i="1"/>
  <c r="F2" i="1"/>
  <c r="E2" i="1"/>
  <c r="D2" i="1"/>
  <c r="C2" i="1"/>
  <c r="B8" i="1" s="1" a="1"/>
  <c r="B8" i="1" s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09ABD1-4983-4348-A14C-5F5E1013928E}" keepAlive="1" name="Query - iris_dataset" description="Connection to the 'iris_dataset' query in the workbook." type="5" refreshedVersion="8" background="1" saveData="1">
    <dbPr connection="Provider=Microsoft.Mashup.OleDb.1;Data Source=$Workbook$;Location=iris_dataset;Extended Properties=&quot;&quot;" command="SELECT * FROM [iris_datase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<sst xmlns="http://schemas.openxmlformats.org/spreadsheetml/2006/main" count="196" uniqueCount="39">
  <si>
    <t>sepal length (cm)</t>
  </si>
  <si>
    <t>sepal width (cm)</t>
  </si>
  <si>
    <t>petal length (cm)</t>
  </si>
  <si>
    <t>petal width (cm)</t>
  </si>
  <si>
    <t>target</t>
  </si>
  <si>
    <t>Iris-setosa</t>
  </si>
  <si>
    <t>Iris-versicolor</t>
  </si>
  <si>
    <t>Iris-virginica</t>
  </si>
  <si>
    <t>Species</t>
  </si>
  <si>
    <t>Count</t>
  </si>
  <si>
    <t>Sepal Length</t>
  </si>
  <si>
    <t>Sepal Width</t>
  </si>
  <si>
    <t>Petal Length</t>
  </si>
  <si>
    <t>Petal Width</t>
  </si>
  <si>
    <t>Measurement</t>
  </si>
  <si>
    <t>DAY 7 — THE IRIS CHART STORY: ONE NARRATIVE, FOUR CHARTS</t>
  </si>
  <si>
    <t>Prepared by Prasanna Shetty · Dataset: Iris (150 flowers, 3 species) · Charts live on the Charts sheet</t>
  </si>
  <si>
    <r>
      <t xml:space="preserve">Read together, the four charts tell one story about how to identify an iris. The pie chart first confirms the evidence base is fair: </t>
    </r>
    <r>
      <rPr>
        <b/>
        <sz val="12"/>
        <color theme="1"/>
        <rFont val="Arial"/>
        <family val="2"/>
      </rPr>
      <t xml:space="preserve">150 </t>
    </r>
    <r>
      <rPr>
        <sz val="12"/>
        <color theme="1"/>
        <rFont val="Arial"/>
        <family val="2"/>
      </rPr>
      <t xml:space="preserve">flowers split evenly, </t>
    </r>
    <r>
      <rPr>
        <b/>
        <sz val="12"/>
        <color theme="1"/>
        <rFont val="Arial"/>
        <family val="2"/>
      </rPr>
      <t xml:space="preserve">50 </t>
    </r>
    <r>
      <rPr>
        <sz val="12"/>
        <color theme="1"/>
        <rFont val="Arial"/>
        <family val="2"/>
      </rPr>
      <t xml:space="preserve">per species, so no species can dominate the averages. The petal-size column chart then reveals the cleanest split in the data — setosa's petals average </t>
    </r>
    <r>
      <rPr>
        <b/>
        <sz val="12"/>
        <color theme="1"/>
        <rFont val="Arial"/>
        <family val="2"/>
      </rPr>
      <t>(3.4 cm)</t>
    </r>
    <r>
      <rPr>
        <sz val="12"/>
        <color theme="1"/>
        <rFont val="Arial"/>
        <family val="2"/>
      </rPr>
      <t>, so a rule based on sepal width alone would point at the wrong flower. The conclusion ties the story together: petal measurements are the reliable identifiers in this dataset, and any classification rule should weight them above sepal width.</t>
    </r>
  </si>
  <si>
    <t>#</t>
  </si>
  <si>
    <t>Question it answers</t>
  </si>
  <si>
    <t>Chart type</t>
  </si>
  <si>
    <t>Why this type</t>
  </si>
  <si>
    <t>One-line takeaway</t>
  </si>
  <si>
    <t>How is the sample split across species?</t>
  </si>
  <si>
    <t>Pie (3 slices)</t>
  </si>
  <si>
    <t>Part-of-whole share; ≤ 5-slice rule satisfied</t>
  </si>
  <si>
    <t>Each species supplies exactly 50 flowers (33%), so no species can skew the comparisons.</t>
  </si>
  <si>
    <t>Which species has the biggest petals?</t>
  </si>
  <si>
    <t>Clustered column</t>
  </si>
  <si>
    <t>Comparing magnitudes across discrete groups</t>
  </si>
  <si>
    <t>Setosa's petals (4.3 cm) and a third of virginica's (~5.6 cm) — the cleanest split in the data.</t>
  </si>
  <si>
    <t>Which measurements separate the species?</t>
  </si>
  <si>
    <t>Line with markers (profile)</t>
  </si>
  <si>
    <t>Compares the shape of 3 series across an ordered measurement axis</t>
  </si>
  <si>
    <t>The species lines separate widely on petal measures but nearly overlap on sepal width — petals carry the identifying signal.</t>
  </si>
  <si>
    <t>Does sepal width follow the same pattern?</t>
  </si>
  <si>
    <t>Clustered bar (horizontal)</t>
  </si>
  <si>
    <t>Side-by-side of two metrics per group; long labels read easier horizontally</t>
  </si>
  <si>
    <t>The twist: setosa — smallest petals — has the widest sepals (~3.4 cm), so sepal width alone would misidentify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</si>
</sst>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Uber Move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CapitoliumNewsW01-2Italic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5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1200">
                <a:latin typeface="Arial" panose="020B0604020202020204" pitchFamily="34" charset="0"/>
                <a:cs typeface="Arial" panose="020B0604020202020204" pitchFamily="34" charset="0"/>
              </a:rPr>
              <a:t>Species composition of the Iris sample (n = 150)</a:t>
            </a:r>
          </a:p>
        </c:rich>
      </c:tx>
      <c:layout>
        <c:manualLayout>
          <c:xMode val="edge"/>
          <c:yMode val="edge"/>
          <c:x val="0.28966703169608216"/>
          <c:y val="5.2884529036083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4E-45A3-BE74-CA25D311AE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4E-45A3-BE74-CA25D311AEBC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4E-45A3-BE74-CA25D311AEBC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4E-45A3-BE74-CA25D311AE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>
                <a:latin typeface="Arial" panose="020B0604020202020204" pitchFamily="34" charset="0"/>
                <a:cs typeface="Arial" panose="020B0604020202020204" pitchFamily="34" charset="0"/>
              </a:rPr>
              <a:t>Measurement profiles: four averages per species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Summary!$A$8:$A$10</c:f>
              <c:strCache>
                <c:ptCount val="3"/>
                <c:pt idx="0">
                  <c:v>Sepal Length</c:v>
                </c:pt>
                <c:pt idx="1">
                  <c:v>Sepal Width</c:v>
                </c:pt>
                <c:pt idx="2">
                  <c:v>Petal Length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Summary!$A$11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75-4D3B-81E1-A05AA1C17C89}"/>
            </c:ext>
          </c:extLst>
        </c:ser>
        <c:ser>
          <c:idx val="1"/>
          <c:order val="1"/>
          <c:tx>
            <c:strRef>
              <c:f>Summary!$B$7:$B$9</c:f>
              <c:strCache>
                <c:ptCount val="3"/>
                <c:pt idx="0">
                  <c:v>Iris-setosa</c:v>
                </c:pt>
                <c:pt idx="1">
                  <c:v>5.006</c:v>
                </c:pt>
                <c:pt idx="2">
                  <c:v>3.418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Summary!$B$10:$B$11</c:f>
              <c:numCache>
                <c:formatCode>General</c:formatCode>
                <c:ptCount val="2"/>
                <c:pt idx="0">
                  <c:v>1.464</c:v>
                </c:pt>
                <c:pt idx="1">
                  <c:v>0.24399999999999991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75-4D3B-81E1-A05AA1C17C89}"/>
            </c:ext>
          </c:extLst>
        </c:ser>
        <c:ser>
          <c:idx val="2"/>
          <c:order val="2"/>
          <c:tx>
            <c:strRef>
              <c:f>Summary!$C$7:$C$9</c:f>
              <c:strCache>
                <c:ptCount val="3"/>
                <c:pt idx="0">
                  <c:v>Iris-versicolor</c:v>
                </c:pt>
                <c:pt idx="1">
                  <c:v>5.936</c:v>
                </c:pt>
                <c:pt idx="2">
                  <c:v>2.77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Summary!$C$10:$C$11</c:f>
              <c:numCache>
                <c:formatCode>General</c:formatCode>
                <c:ptCount val="2"/>
                <c:pt idx="0">
                  <c:v>4.26</c:v>
                </c:pt>
                <c:pt idx="1">
                  <c:v>1.3259999999999998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75-4D3B-81E1-A05AA1C17C89}"/>
            </c:ext>
          </c:extLst>
        </c:ser>
        <c:ser>
          <c:idx val="3"/>
          <c:order val="3"/>
          <c:tx>
            <c:strRef>
              <c:f>Summary!$D$7:$D$9</c:f>
              <c:strCache>
                <c:ptCount val="3"/>
                <c:pt idx="0">
                  <c:v>Iris-virginica</c:v>
                </c:pt>
                <c:pt idx="1">
                  <c:v>6.588</c:v>
                </c:pt>
                <c:pt idx="2">
                  <c:v>2.974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Summary!$D$10:$D$11</c:f>
              <c:numCache>
                <c:formatCode>General</c:formatCode>
                <c:ptCount val="2"/>
                <c:pt idx="0">
                  <c:v>5.5519999999999996</c:v>
                </c:pt>
                <c:pt idx="1">
                  <c:v>2.0259999999999998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75-4D3B-81E1-A05AA1C17C8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5571424"/>
        <c:axId val="1577468400"/>
      </c:lineChart>
      <c:catAx>
        <c:axId val="79557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0">
                    <a:latin typeface="Arial" panose="020B0604020202020204" pitchFamily="34" charset="0"/>
                    <a:cs typeface="Arial" panose="020B0604020202020204" pitchFamily="34" charset="0"/>
                  </a:rPr>
                  <a:t>Measurement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ber Move" panose="02010803030201060303" pitchFamily="2" charset="0"/>
                <a:ea typeface="+mn-ea"/>
                <a:cs typeface="+mn-cs"/>
              </a:defRPr>
            </a:pPr>
            <a:endParaRPr lang="en-US"/>
          </a:p>
        </c:txPr>
        <c:crossAx val="1577468400"/>
        <c:crosses val="autoZero"/>
        <c:auto val="1"/>
        <c:lblAlgn val="ctr"/>
        <c:lblOffset val="100"/>
        <c:noMultiLvlLbl val="0"/>
      </c:catAx>
      <c:valAx>
        <c:axId val="157746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0">
                    <a:latin typeface="Arial" panose="020B0604020202020204" pitchFamily="34" charset="0"/>
                    <a:cs typeface="Arial" panose="020B0604020202020204" pitchFamily="34" charset="0"/>
                  </a:rPr>
                  <a:t>Average value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ber Move" panose="02010803030201060303" pitchFamily="2" charset="0"/>
                <a:ea typeface="+mn-ea"/>
                <a:cs typeface="+mn-cs"/>
              </a:defRPr>
            </a:pPr>
            <a:endParaRPr lang="en-US"/>
          </a:p>
        </c:txPr>
        <c:crossAx val="7955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991608232551314E-2"/>
          <c:y val="0.93122851438497578"/>
          <c:w val="0.96537432250843203"/>
          <c:h val="5.0733156295732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petal length &amp; width by species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69816272965875E-2"/>
          <c:y val="0.16245370370370371"/>
          <c:w val="0.9155301837270341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Summary!$E$2:$E$4</c:f>
              <c:numCache>
                <c:formatCode>General</c:formatCode>
                <c:ptCount val="3"/>
                <c:pt idx="0">
                  <c:v>1.464</c:v>
                </c:pt>
                <c:pt idx="1">
                  <c:v>4.26</c:v>
                </c:pt>
                <c:pt idx="2">
                  <c:v>5.5519999999999996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D-44C5-B8BA-8DC6DFD4F59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Summary!$F$2:$F$4</c:f>
              <c:numCache>
                <c:formatCode>General</c:formatCode>
                <c:ptCount val="3"/>
                <c:pt idx="0">
                  <c:v>0.24399999999999991</c:v>
                </c:pt>
                <c:pt idx="1">
                  <c:v>1.3259999999999998</c:v>
                </c:pt>
                <c:pt idx="2">
                  <c:v>2.0259999999999998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2D-44C5-B8BA-8DC6DFD4F5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1491904"/>
        <c:axId val="1577460720"/>
      </c:barChart>
      <c:catAx>
        <c:axId val="80149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N" sz="1200">
                    <a:latin typeface="Arial" panose="020B0604020202020204" pitchFamily="34" charset="0"/>
                    <a:cs typeface="Arial" panose="020B0604020202020204" pitchFamily="34" charset="0"/>
                  </a:rPr>
                  <a:t>Species</a:t>
                </a:r>
                <a:endParaRPr lang="en-IN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949868766404201"/>
              <c:y val="0.86168926800816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Uber Move" panose="02010803030201060303" pitchFamily="2" charset="0"/>
                <a:ea typeface="+mn-ea"/>
                <a:cs typeface="+mn-cs"/>
              </a:defRPr>
            </a:pPr>
            <a:endParaRPr lang="en-US"/>
          </a:p>
        </c:txPr>
        <c:crossAx val="1577460720"/>
        <c:crosses val="autoZero"/>
        <c:auto val="1"/>
        <c:lblAlgn val="ctr"/>
        <c:lblOffset val="100"/>
        <c:noMultiLvlLbl val="0"/>
      </c:catAx>
      <c:valAx>
        <c:axId val="15774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N" sz="1200">
                    <a:latin typeface="Arial" panose="020B0604020202020204" pitchFamily="34" charset="0"/>
                    <a:cs typeface="Arial" panose="020B0604020202020204" pitchFamily="34" charset="0"/>
                  </a:rPr>
                  <a:t>Average</a:t>
                </a:r>
                <a:r>
                  <a:rPr lang="en-IN">
                    <a:latin typeface="Arial" panose="020B0604020202020204" pitchFamily="34" charset="0"/>
                    <a:cs typeface="Arial" panose="020B0604020202020204" pitchFamily="34" charset="0"/>
                  </a:rPr>
                  <a:t> size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Uber Move" panose="02010803030201060303" pitchFamily="2" charset="0"/>
                <a:ea typeface="+mn-ea"/>
                <a:cs typeface="+mn-cs"/>
              </a:defRPr>
            </a:pPr>
            <a:endParaRPr lang="en-US"/>
          </a:p>
        </c:txPr>
        <c:crossAx val="80149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333552055992958E-2"/>
          <c:y val="0.88020778652668419"/>
          <c:w val="0.30797969108051848"/>
          <c:h val="8.5857808957738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latin typeface="Arial" panose="020B0604020202020204" pitchFamily="34" charset="0"/>
                <a:cs typeface="Arial" panose="020B0604020202020204" pitchFamily="34" charset="0"/>
              </a:rPr>
              <a:t>Average sepal length &amp; width by species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  <c:pt idx="0">
                  <c:v>Iris-setosa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Summary!$C$2:$D$2</c:f>
              <c:numCache>
                <c:formatCode>General</c:formatCode>
                <c:ptCount val="2"/>
                <c:pt idx="0">
                  <c:v>5.0059999999999993</c:v>
                </c:pt>
                <c:pt idx="1">
                  <c:v>3.4180000000000006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0-4978-B2CD-6E196BA05E0A}"/>
            </c:ext>
          </c:extLst>
        </c:ser>
        <c:ser>
          <c:idx val="1"/>
          <c:order val="1"/>
          <c:tx>
            <c:strRef>
              <c:f>Summary!$A$3</c:f>
              <c:strCache>
                <c:ptCount val="1"/>
                <c:pt idx="0">
                  <c:v>Iris-versicolor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ber Move" panose="02010803030201060303" pitchFamily="2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Summary!$C$3:$D$3</c:f>
              <c:numCache>
                <c:formatCode>General</c:formatCode>
                <c:ptCount val="2"/>
                <c:pt idx="0">
                  <c:v>5.9359999999999999</c:v>
                </c:pt>
                <c:pt idx="1">
                  <c:v>2.7700000000000005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30-4978-B2CD-6E196BA05E0A}"/>
            </c:ext>
          </c:extLst>
        </c:ser>
        <c:ser>
          <c:idx val="2"/>
          <c:order val="2"/>
          <c:tx>
            <c:strRef>
              <c:f>Summary!$A$4</c:f>
              <c:strCache>
                <c:ptCount val="1"/>
                <c:pt idx="0">
                  <c:v>Iris-virginica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Summary!$C$4:$D$4</c:f>
              <c:numCache>
                <c:formatCode>General</c:formatCode>
                <c:ptCount val="2"/>
                <c:pt idx="0">
                  <c:v>6.5879999999999983</c:v>
                </c:pt>
                <c:pt idx="1">
                  <c:v>2.9739999999999998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30-4978-B2CD-6E196BA05E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5598800"/>
        <c:axId val="1577497680"/>
      </c:barChart>
      <c:catAx>
        <c:axId val="795598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latin typeface="Arial" panose="020B0604020202020204" pitchFamily="34" charset="0"/>
                    <a:cs typeface="Arial" panose="020B0604020202020204" pitchFamily="34" charset="0"/>
                  </a:rPr>
                  <a:t>Average size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ber Move" panose="02010803030201060303" pitchFamily="2" charset="0"/>
                <a:ea typeface="+mn-ea"/>
                <a:cs typeface="+mn-cs"/>
              </a:defRPr>
            </a:pPr>
            <a:endParaRPr lang="en-US"/>
          </a:p>
        </c:txPr>
        <c:crossAx val="1577497680"/>
        <c:crosses val="autoZero"/>
        <c:auto val="1"/>
        <c:lblAlgn val="ctr"/>
        <c:lblOffset val="100"/>
        <c:noMultiLvlLbl val="0"/>
      </c:catAx>
      <c:valAx>
        <c:axId val="157749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0">
                    <a:latin typeface="Arial" panose="020B0604020202020204" pitchFamily="34" charset="0"/>
                    <a:cs typeface="Arial" panose="020B0604020202020204" pitchFamily="34" charset="0"/>
                  </a:rPr>
                  <a:t>Species</a:t>
                </a:r>
                <a:endParaRPr lang="en-IN" b="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ber Move" panose="02010803030201060303" pitchFamily="2" charset="0"/>
                <a:ea typeface="+mn-ea"/>
                <a:cs typeface="+mn-cs"/>
              </a:defRPr>
            </a:pPr>
            <a:endParaRPr lang="en-US"/>
          </a:p>
        </c:txPr>
        <c:crossAx val="79559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</xdr:row>
      <xdr:rowOff>32658</xdr:rowOff>
    </xdr:from>
    <xdr:to>
      <xdr:col>15</xdr:col>
      <xdr:colOff>348342</xdr:colOff>
      <xdr:row>21</xdr:row>
      <xdr:rowOff>65315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5EE062-CD09-41A6-8F94-071411DB8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206829</xdr:colOff>
      <xdr:row>27</xdr:row>
      <xdr:rowOff>0</xdr:rowOff>
    </xdr:from>
    <xdr:to>
      <xdr:col>15</xdr:col>
      <xdr:colOff>533399</xdr:colOff>
      <xdr:row>44</xdr:row>
      <xdr:rowOff>112532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1337205E-A5CF-4FDD-9852-9B1EA7035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391886</xdr:colOff>
      <xdr:row>2</xdr:row>
      <xdr:rowOff>65315</xdr:rowOff>
    </xdr:from>
    <xdr:to>
      <xdr:col>32</xdr:col>
      <xdr:colOff>381000</xdr:colOff>
      <xdr:row>21</xdr:row>
      <xdr:rowOff>32658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7E2160C0-0734-4FE5-998E-1C82C1AC4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370114</xdr:colOff>
      <xdr:row>25</xdr:row>
      <xdr:rowOff>141513</xdr:rowOff>
    </xdr:from>
    <xdr:to>
      <xdr:col>32</xdr:col>
      <xdr:colOff>337457</xdr:colOff>
      <xdr:row>43</xdr:row>
      <xdr:rowOff>152399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C03B4692-3071-440D-AE38-25A391535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206827</xdr:colOff>
      <xdr:row>22</xdr:row>
      <xdr:rowOff>65315</xdr:rowOff>
    </xdr:from>
    <xdr:to>
      <xdr:col>14</xdr:col>
      <xdr:colOff>239485</xdr:colOff>
      <xdr:row>24</xdr:row>
      <xdr:rowOff>21772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A37C92F-DC64-125D-0F16-FBEED2CD0427}"/>
            </a:ext>
          </a:extLst>
        </xdr:cNvPr>
        <xdr:cNvSpPr txBox="1"/>
      </xdr:nvSpPr>
      <xdr:spPr>
        <a:xfrm>
          <a:off x="1426027" y="4136572"/>
          <a:ext cx="7347858" cy="326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>
              <a:solidFill>
                <a:schemeClr val="dk1"/>
              </a:solidFill>
              <a:effectLst/>
              <a:latin typeface="CapitoliumNewsW01-2Italic" panose="02000603070000090004" pitchFamily="2" charset="0"/>
              <a:ea typeface="+mn-ea"/>
              <a:cs typeface="Arial" panose="020B0604020202020204" pitchFamily="34" charset="0"/>
            </a:rPr>
            <a:t>Each species supplies exactly 50 flowers (33%), so no species can skew the comparisons</a:t>
          </a:r>
          <a:endParaRPr lang="en-IN" sz="1600" b="1" i="0">
            <a:latin typeface="CapitoliumNewsW01-2Italic" panose="02000603070000090004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402772</xdr:colOff>
      <xdr:row>45</xdr:row>
      <xdr:rowOff>32657</xdr:rowOff>
    </xdr:from>
    <xdr:to>
      <xdr:col>32</xdr:col>
      <xdr:colOff>511629</xdr:colOff>
      <xdr:row>49</xdr:row>
      <xdr:rowOff>10886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CC6FDBD-BE5F-72F4-92AF-0EE99B07042F}"/>
            </a:ext>
          </a:extLst>
        </xdr:cNvPr>
        <xdr:cNvSpPr txBox="1"/>
      </xdr:nvSpPr>
      <xdr:spPr>
        <a:xfrm>
          <a:off x="10765972" y="8360228"/>
          <a:ext cx="9252857" cy="7184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>
              <a:solidFill>
                <a:schemeClr val="dk1"/>
              </a:solidFill>
              <a:effectLst/>
              <a:latin typeface="CapitoliumNewsW01-2Italic" panose="02000603070000090004" pitchFamily="2" charset="0"/>
              <a:ea typeface="+mn-ea"/>
              <a:cs typeface="+mn-cs"/>
            </a:rPr>
            <a:t>The twist: setosa — smallest petals — has the widest sepals (~3.4 cm), so sepal width alone would misidentify it</a:t>
          </a:r>
          <a:endParaRPr lang="en-IN" sz="1600" b="1" i="0">
            <a:latin typeface="CapitoliumNewsW01-2Italic" panose="02000603070000090004" pitchFamily="2" charset="0"/>
          </a:endParaRPr>
        </a:p>
      </xdr:txBody>
    </xdr:sp>
    <xdr:clientData/>
  </xdr:twoCellAnchor>
  <xdr:twoCellAnchor>
    <xdr:from>
      <xdr:col>18</xdr:col>
      <xdr:colOff>283029</xdr:colOff>
      <xdr:row>22</xdr:row>
      <xdr:rowOff>119744</xdr:rowOff>
    </xdr:from>
    <xdr:to>
      <xdr:col>31</xdr:col>
      <xdr:colOff>119744</xdr:colOff>
      <xdr:row>24</xdr:row>
      <xdr:rowOff>65316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A850DEC-2761-4543-B437-3A58D1526211}"/>
            </a:ext>
          </a:extLst>
        </xdr:cNvPr>
        <xdr:cNvSpPr txBox="1"/>
      </xdr:nvSpPr>
      <xdr:spPr>
        <a:xfrm>
          <a:off x="11255829" y="4191001"/>
          <a:ext cx="7761515" cy="3156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>
              <a:solidFill>
                <a:schemeClr val="dk1"/>
              </a:solidFill>
              <a:effectLst/>
              <a:latin typeface="CapitoliumNewsW01-2Italic" panose="02000603070000090004" pitchFamily="2" charset="0"/>
              <a:ea typeface="+mn-ea"/>
              <a:cs typeface="+mn-cs"/>
            </a:rPr>
            <a:t>Setosa's (4.3 cm) and a third of virginica's (~5.6 cm) — the cleanest split in the data.</a:t>
          </a:r>
          <a:endParaRPr lang="en-IN" sz="1600" b="1" i="0">
            <a:latin typeface="CapitoliumNewsW01-2Italic" panose="02000603070000090004" pitchFamily="2" charset="0"/>
          </a:endParaRPr>
        </a:p>
      </xdr:txBody>
    </xdr:sp>
    <xdr:clientData/>
  </xdr:twoCellAnchor>
  <xdr:twoCellAnchor>
    <xdr:from>
      <xdr:col>0</xdr:col>
      <xdr:colOff>402773</xdr:colOff>
      <xdr:row>45</xdr:row>
      <xdr:rowOff>76201</xdr:rowOff>
    </xdr:from>
    <xdr:to>
      <xdr:col>16</xdr:col>
      <xdr:colOff>195943</xdr:colOff>
      <xdr:row>48</xdr:row>
      <xdr:rowOff>174172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2D1DCBF-FB75-4B0B-B7E3-D3F2616CEEE2}"/>
            </a:ext>
          </a:extLst>
        </xdr:cNvPr>
        <xdr:cNvSpPr txBox="1"/>
      </xdr:nvSpPr>
      <xdr:spPr>
        <a:xfrm>
          <a:off x="402773" y="8403772"/>
          <a:ext cx="9546770" cy="653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 i="0">
              <a:solidFill>
                <a:schemeClr val="dk1"/>
              </a:solidFill>
              <a:effectLst/>
              <a:latin typeface="CapitoliumNewsW01-2Italic" panose="02000603070000090004" pitchFamily="2" charset="0"/>
              <a:ea typeface="+mn-ea"/>
              <a:cs typeface="+mn-cs"/>
            </a:rPr>
            <a:t>The species lines separate widely on petal measures but nearly overlap on sepal width — petals carry the identifying signal</a:t>
          </a:r>
          <a:endParaRPr lang="en-IN" sz="1800" b="1" i="0">
            <a:latin typeface="CapitoliumNewsW01-2Italic" panose="02000603070000090004" pitchFamily="2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289E72-C885-4ACD-94EB-B1419CE71457}" autoFormatId="16" applyNumberFormats="0" applyBorderFormats="0" applyFontFormats="0" applyPatternFormats="0" applyAlignmentFormats="0" applyWidthHeightFormats="0">
  <queryTableRefresh nextId="6">
    <queryTableFields count="5">
      <queryTableField id="1" name="sepal length (cm)" tableColumnId="1"/>
      <queryTableField id="2" name="sepal width (cm)" tableColumnId="2"/>
      <queryTableField id="3" name="petal length (cm)" tableColumnId="3"/>
      <queryTableField id="4" name="petal width (cm)" tableColumnId="4"/>
      <queryTableField id="5" name="targe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A5628-BCBB-42FA-B9FF-251EFB0AD280}" name="Iris" displayName="Iris" ref="A1:E151" tableType="queryTable" totalsRowShown="0">
  <autoFilter ref="A1:E151" xr:uid="{285A5628-BCBB-42FA-B9FF-251EFB0AD280}"/>
  <tableColumns count="5">
    <tableColumn id="1" xr3:uid="{614A1A22-4283-42B6-8B2A-997A9201909A}" uniqueName="1" name="sepal length (cm)" queryTableFieldId="1"/>
    <tableColumn id="2" xr3:uid="{E275CE1B-8FD8-457D-8611-FEB74F6E0DFC}" uniqueName="2" name="sepal width (cm)" queryTableFieldId="2"/>
    <tableColumn id="3" xr3:uid="{546EA6E2-B0A8-4D7D-9E05-C158FAEAFACD}" uniqueName="3" name="petal length (cm)" queryTableFieldId="3"/>
    <tableColumn id="4" xr3:uid="{5B85947E-DFAD-4A73-8042-7EDED24E4976}" uniqueName="4" name="petal width (cm)" queryTableFieldId="4"/>
    <tableColumn id="5" xr3:uid="{188AF955-2561-4217-AFD2-9005A1CFDCD9}" uniqueName="5" name="targe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1430-B6A1-4266-91E9-C31A9818C011}">
  <dimension ref="A1:E151"/>
  <sheetViews>
    <sheetView zoomScale="134" zoomScaleNormal="400" workbookViewId="0"/>
  </sheetViews>
  <sheetFormatPr defaultRowHeight="14.4" x14ac:dyDescent="0.3"/>
  <cols>
    <col min="1" max="1" width="17.77734375" bestFit="1" customWidth="1"/>
    <col min="2" max="2" width="17.21875" bestFit="1" customWidth="1"/>
    <col min="3" max="3" width="17.6640625" bestFit="1" customWidth="1"/>
    <col min="4" max="4" width="17.109375" bestFit="1" customWidth="1"/>
    <col min="5" max="5" width="1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s="1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s="1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s="1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s="1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s="1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s="1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s="1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s="1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s="1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s="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s="1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s="1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s="1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s="1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s="1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s="1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s="1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s="1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s="1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s="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s="1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s="1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s="1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s="1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s="1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s="1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s="1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s="1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s="1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s="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s="1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s="1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s="1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s="1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s="1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s="1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s="1" t="s">
        <v>5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s="1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s="1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s="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s="1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s="1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s="1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s="1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s="1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s="1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s="1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s="1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s="1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s="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s="1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s="1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s="1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s="1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s="1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s="1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s="1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s="1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s="1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s="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s="1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s="1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s="1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s="1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s="1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s="1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s="1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s="1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s="1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s="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s="1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s="1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s="1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s="1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s="1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s="1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s="1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s="1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s="1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s="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s="1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s="1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s="1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s="1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s="1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s="1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s="1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s="1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s="1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s="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s="1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s="1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s="1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s="1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s="1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s="1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s="1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s="1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s="1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s="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s="1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s="1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s="1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s="1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s="1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s="1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s="1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s="1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s="1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s="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s="1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s="1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s="1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s="1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s="1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s="1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s="1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s="1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s="1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s="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s="1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s="1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s="1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s="1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s="1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s="1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s="1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s="1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s="1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s="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s="1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s="1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s="1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s="1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s="1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s="1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s="1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s="1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s="1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s="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s="1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s="1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s="1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s="1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s="1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s="1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s="1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s="1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s="1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1FE4-C4D1-445D-94A2-8EA949820FC4}">
  <dimension ref="A1:F11"/>
  <sheetViews>
    <sheetView zoomScale="198" zoomScaleNormal="238" workbookViewId="0">
      <selection activeCell="F11" sqref="F11"/>
    </sheetView>
  </sheetViews>
  <sheetFormatPr defaultRowHeight="14.4" x14ac:dyDescent="0.3"/>
  <cols>
    <col min="1" max="1" width="13.21875" bestFit="1" customWidth="1"/>
    <col min="2" max="2" width="10.109375" bestFit="1" customWidth="1"/>
    <col min="3" max="3" width="12.77734375" bestFit="1" customWidth="1"/>
    <col min="4" max="4" width="11.77734375" bestFit="1" customWidth="1"/>
    <col min="5" max="5" width="12.21875" bestFit="1" customWidth="1"/>
    <col min="6" max="6" width="11.21875" bestFit="1" customWidth="1"/>
  </cols>
  <sheetData>
    <row r="1" spans="1:6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3">
      <c r="A2" s="4" t="s">
        <v>5</v>
      </c>
      <c r="B2" s="2">
        <f>COUNTIFS(Iris[target],$A2)</f>
        <v>50</v>
      </c>
      <c r="C2" s="2">
        <f>AVERAGEIFS(Iris[sepal length (cm)],Iris[target],$A2)</f>
        <v>5.0059999999999993</v>
      </c>
      <c r="D2" s="2">
        <f>AVERAGEIFS(Iris[sepal width (cm)],Iris[target],$A2)</f>
        <v>3.4180000000000006</v>
      </c>
      <c r="E2" s="2">
        <f>AVERAGEIFS(Iris[petal length (cm)],Iris[target],$A2)</f>
        <v>1.464</v>
      </c>
      <c r="F2" s="2">
        <f>AVERAGEIFS(Iris[petal width (cm)],Iris[target],$A2)</f>
        <v>0.24399999999999991</v>
      </c>
    </row>
    <row r="3" spans="1:6" x14ac:dyDescent="0.3">
      <c r="A3" s="4" t="s">
        <v>6</v>
      </c>
      <c r="B3" s="2">
        <f>COUNTIFS(Iris[target],$A3)</f>
        <v>50</v>
      </c>
      <c r="C3" s="2">
        <f>AVERAGEIFS(Iris[sepal length (cm)],Iris[target],$A3)</f>
        <v>5.9359999999999999</v>
      </c>
      <c r="D3" s="2">
        <f>AVERAGEIFS(Iris[sepal width (cm)],Iris[target],$A3)</f>
        <v>2.7700000000000005</v>
      </c>
      <c r="E3" s="2">
        <f>AVERAGEIFS(Iris[petal length (cm)],Iris[target],$A3)</f>
        <v>4.26</v>
      </c>
      <c r="F3" s="2">
        <f>AVERAGEIFS(Iris[petal width (cm)],Iris[target],$A3)</f>
        <v>1.3259999999999998</v>
      </c>
    </row>
    <row r="4" spans="1:6" x14ac:dyDescent="0.3">
      <c r="A4" s="4" t="s">
        <v>7</v>
      </c>
      <c r="B4" s="2">
        <f>COUNTIFS(Iris[target],$A4)</f>
        <v>50</v>
      </c>
      <c r="C4" s="2">
        <f>AVERAGEIFS(Iris[sepal length (cm)],Iris[target],$A4)</f>
        <v>6.5879999999999983</v>
      </c>
      <c r="D4" s="2">
        <f>AVERAGEIFS(Iris[sepal width (cm)],Iris[target],$A4)</f>
        <v>2.9739999999999998</v>
      </c>
      <c r="E4" s="2">
        <f>AVERAGEIFS(Iris[petal length (cm)],Iris[target],$A4)</f>
        <v>5.5519999999999996</v>
      </c>
      <c r="F4" s="2">
        <f>AVERAGEIFS(Iris[petal width (cm)],Iris[target],$A4)</f>
        <v>2.0259999999999998</v>
      </c>
    </row>
    <row r="7" spans="1:6" x14ac:dyDescent="0.3">
      <c r="A7" s="5" t="s">
        <v>14</v>
      </c>
      <c r="B7" s="5" t="s">
        <v>5</v>
      </c>
      <c r="C7" s="5" t="s">
        <v>6</v>
      </c>
      <c r="D7" s="5" t="s">
        <v>7</v>
      </c>
    </row>
    <row r="8" spans="1:6" x14ac:dyDescent="0.3">
      <c r="A8" s="6" t="s">
        <v>10</v>
      </c>
      <c r="B8" s="2" cm="1">
        <f t="array" ref="B8:D11">TRANSPOSE(C2:F4)</f>
        <v>5.0059999999999993</v>
      </c>
      <c r="C8" s="2">
        <v>5.9359999999999999</v>
      </c>
      <c r="D8" s="2">
        <v>6.5879999999999983</v>
      </c>
    </row>
    <row r="9" spans="1:6" x14ac:dyDescent="0.3">
      <c r="A9" s="6" t="s">
        <v>11</v>
      </c>
      <c r="B9" s="2">
        <v>3.4180000000000006</v>
      </c>
      <c r="C9" s="2">
        <v>2.7700000000000005</v>
      </c>
      <c r="D9" s="2">
        <v>2.9739999999999998</v>
      </c>
    </row>
    <row r="10" spans="1:6" x14ac:dyDescent="0.3">
      <c r="A10" s="6" t="s">
        <v>12</v>
      </c>
      <c r="B10" s="2">
        <v>1.464</v>
      </c>
      <c r="C10" s="2">
        <v>4.26</v>
      </c>
      <c r="D10" s="2">
        <v>5.5519999999999996</v>
      </c>
    </row>
    <row r="11" spans="1:6" x14ac:dyDescent="0.3">
      <c r="A11" s="6" t="s">
        <v>13</v>
      </c>
      <c r="B11" s="2">
        <v>0.24399999999999991</v>
      </c>
      <c r="C11" s="2">
        <v>1.3259999999999998</v>
      </c>
      <c r="D11" s="2">
        <v>2.0259999999999998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5BE4-461C-4014-B639-6AAFDAD66F3D}">
  <dimension ref="A1"/>
  <sheetViews>
    <sheetView showGridLines="0" showRowColHeaders="0" zoomScale="59" zoomScaleNormal="70" workbookViewId="0">
      <selection activeCell="Q23" sqref="Q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9311-4AC3-4781-8648-C09AEC90A335}">
  <dimension ref="A1:J18"/>
  <sheetViews>
    <sheetView tabSelected="1" zoomScale="70" zoomScaleNormal="70" workbookViewId="0">
      <selection activeCell="A4" sqref="A4:J10"/>
    </sheetView>
  </sheetViews>
  <sheetFormatPr defaultRowHeight="14.4" x14ac:dyDescent="0.3"/>
  <cols>
    <col min="2" max="2" width="18.6640625" bestFit="1" customWidth="1"/>
    <col min="3" max="3" width="11.21875" bestFit="1" customWidth="1"/>
    <col min="4" max="4" width="16.109375" customWidth="1"/>
    <col min="5" max="5" width="31.21875" customWidth="1"/>
    <col min="10" max="10" width="12.109375" customWidth="1"/>
  </cols>
  <sheetData>
    <row r="1" spans="1:10" ht="42" customHeight="1" x14ac:dyDescent="0.3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5.6" x14ac:dyDescent="0.3">
      <c r="A2" s="8" t="s">
        <v>16</v>
      </c>
      <c r="B2" s="8"/>
      <c r="C2" s="8"/>
      <c r="D2" s="8"/>
      <c r="E2" s="8"/>
      <c r="F2" s="8"/>
      <c r="G2" s="8"/>
      <c r="H2" s="8"/>
      <c r="I2" s="8"/>
      <c r="J2" s="8"/>
    </row>
    <row r="4" spans="1:10" ht="14.4" customHeight="1" x14ac:dyDescent="0.3">
      <c r="A4" s="11" t="s">
        <v>17</v>
      </c>
      <c r="B4" s="9"/>
      <c r="C4" s="9"/>
      <c r="D4" s="9"/>
      <c r="E4" s="9"/>
      <c r="F4" s="9"/>
      <c r="G4" s="9"/>
      <c r="H4" s="9"/>
      <c r="I4" s="9"/>
      <c r="J4" s="9"/>
    </row>
    <row r="5" spans="1:10" x14ac:dyDescent="0.3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x14ac:dyDescent="0.3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x14ac:dyDescent="0.3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x14ac:dyDescent="0.3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x14ac:dyDescent="0.3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4.4" customHeight="1" x14ac:dyDescent="0.3">
      <c r="A14" s="12" t="s">
        <v>18</v>
      </c>
      <c r="B14" s="13" t="s">
        <v>19</v>
      </c>
      <c r="C14" s="12" t="s">
        <v>20</v>
      </c>
      <c r="D14" s="12" t="s">
        <v>21</v>
      </c>
      <c r="E14" s="13" t="s">
        <v>22</v>
      </c>
      <c r="F14" s="10"/>
      <c r="G14" s="10"/>
      <c r="H14" s="10"/>
      <c r="I14" s="10"/>
      <c r="J14" s="10"/>
    </row>
    <row r="15" spans="1:10" ht="54.6" customHeight="1" x14ac:dyDescent="0.3">
      <c r="A15" s="15">
        <v>1</v>
      </c>
      <c r="B15" s="14" t="s">
        <v>23</v>
      </c>
      <c r="C15" s="14" t="s">
        <v>24</v>
      </c>
      <c r="D15" s="14" t="s">
        <v>25</v>
      </c>
      <c r="E15" s="14" t="s">
        <v>26</v>
      </c>
      <c r="F15" s="10"/>
      <c r="G15" s="10"/>
      <c r="H15" s="10"/>
      <c r="I15" s="10"/>
      <c r="J15" s="10"/>
    </row>
    <row r="16" spans="1:10" ht="79.2" customHeight="1" x14ac:dyDescent="0.3">
      <c r="A16" s="15">
        <v>2</v>
      </c>
      <c r="B16" s="14" t="s">
        <v>27</v>
      </c>
      <c r="C16" s="14" t="s">
        <v>28</v>
      </c>
      <c r="D16" s="14" t="s">
        <v>29</v>
      </c>
      <c r="E16" s="14" t="s">
        <v>30</v>
      </c>
      <c r="F16" s="10"/>
      <c r="G16" s="10"/>
      <c r="H16" s="10"/>
      <c r="I16" s="10"/>
      <c r="J16" s="10"/>
    </row>
    <row r="17" spans="1:5" ht="93" customHeight="1" x14ac:dyDescent="0.3">
      <c r="A17" s="15">
        <v>3</v>
      </c>
      <c r="B17" s="14" t="s">
        <v>31</v>
      </c>
      <c r="C17" s="14" t="s">
        <v>32</v>
      </c>
      <c r="D17" s="14" t="s">
        <v>33</v>
      </c>
      <c r="E17" s="14" t="s">
        <v>34</v>
      </c>
    </row>
    <row r="18" spans="1:5" ht="82.8" customHeight="1" x14ac:dyDescent="0.3">
      <c r="A18" s="15">
        <v>4</v>
      </c>
      <c r="B18" s="14" t="s">
        <v>35</v>
      </c>
      <c r="C18" s="14" t="s">
        <v>36</v>
      </c>
      <c r="D18" s="14" t="s">
        <v>37</v>
      </c>
      <c r="E18" s="14" t="s">
        <v>38</v>
      </c>
    </row>
  </sheetData>
  <mergeCells count="3">
    <mergeCell ref="A1:J1"/>
    <mergeCell ref="A2:J2"/>
    <mergeCell ref="A4:J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F45A10-8183-45DF-8963-94DECA1435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Summary</vt:lpstr>
      <vt:lpstr>Charts</vt:lpstr>
      <vt:lpstr>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PRASANNA  DINAKARA PRABHAVATHI</dc:creator>
  <cp:lastModifiedBy>SHETTY PRASANNA  DINAKARA PRABHAVATHI</cp:lastModifiedBy>
  <dcterms:created xsi:type="dcterms:W3CDTF">2026-09-14T06:38:38Z</dcterms:created>
  <dcterms:modified xsi:type="dcterms:W3CDTF">2026-09-14T10:37:49Z</dcterms:modified>
</cp:coreProperties>
</file>