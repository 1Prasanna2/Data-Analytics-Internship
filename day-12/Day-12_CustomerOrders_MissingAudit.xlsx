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tics-internship\day-12\"/>
    </mc:Choice>
  </mc:AlternateContent>
  <xr:revisionPtr revIDLastSave="0" documentId="13_ncr:1_{B451CD95-AF9D-4E6B-ABDE-B66445DC2B03}" xr6:coauthVersionLast="47" xr6:coauthVersionMax="47" xr10:uidLastSave="{00000000-0000-0000-0000-000000000000}"/>
  <bookViews>
    <workbookView xWindow="-108" yWindow="-108" windowWidth="23256" windowHeight="12456" activeTab="2" xr2:uid="{98FE4A4E-6BAE-468C-A025-2D3AF2471AB0}"/>
  </bookViews>
  <sheets>
    <sheet name="Raw" sheetId="2" r:id="rId1"/>
    <sheet name="Work" sheetId="3" r:id="rId2"/>
    <sheet name="Missing-Audit" sheetId="4" r:id="rId3"/>
  </sheets>
  <definedNames>
    <definedName name="ExternalData_1" localSheetId="0" hidden="1">Raw!$A$1:$P$151</definedName>
    <definedName name="ExternalData_1" localSheetId="1" hidden="1">Work!$A$1:$P$151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C17" i="4" a="1"/>
  <c r="C17" i="4" s="1"/>
  <c r="C16" i="4" a="1"/>
  <c r="C16" i="4" s="1"/>
  <c r="C15" i="4" a="1"/>
  <c r="C15" i="4" s="1"/>
  <c r="C14" i="4" a="1"/>
  <c r="C14" i="4" s="1"/>
  <c r="C13" i="4" a="1"/>
  <c r="C13" i="4" s="1"/>
  <c r="C12" i="4" a="1"/>
  <c r="C12" i="4" s="1"/>
  <c r="C11" i="4" a="1"/>
  <c r="C11" i="4" s="1"/>
  <c r="C10" i="4" a="1"/>
  <c r="C10" i="4" s="1"/>
  <c r="C9" i="4" a="1"/>
  <c r="C9" i="4" s="1"/>
  <c r="C8" i="4" a="1"/>
  <c r="C8" i="4" s="1"/>
  <c r="C7" i="4" a="1"/>
  <c r="C7" i="4" s="1"/>
  <c r="C6" i="4" a="1"/>
  <c r="C6" i="4" s="1"/>
  <c r="C5" i="4" a="1"/>
  <c r="C5" i="4" s="1"/>
  <c r="C4" i="4" a="1"/>
  <c r="C4" i="4" s="1"/>
  <c r="C3" i="4" a="1"/>
  <c r="C3" i="4" s="1"/>
  <c r="C2" i="4" a="1"/>
  <c r="C2" i="4" s="1"/>
  <c r="C18" i="4" s="1"/>
  <c r="B17" i="4"/>
  <c r="B16" i="4"/>
  <c r="B15" i="4"/>
  <c r="B14" i="4"/>
  <c r="B13" i="4"/>
  <c r="D13" i="4" s="1"/>
  <c r="E13" i="4" s="1"/>
  <c r="B12" i="4"/>
  <c r="B11" i="4"/>
  <c r="B10" i="4"/>
  <c r="B9" i="4"/>
  <c r="B8" i="4"/>
  <c r="B7" i="4"/>
  <c r="B6" i="4"/>
  <c r="B5" i="4"/>
  <c r="B4" i="4"/>
  <c r="B3" i="4"/>
  <c r="B2" i="4"/>
  <c r="B18" i="4" s="1"/>
  <c r="D15" i="4" l="1"/>
  <c r="E15" i="4" s="1"/>
  <c r="D11" i="4"/>
  <c r="E11" i="4" s="1"/>
  <c r="D10" i="4"/>
  <c r="E10" i="4" s="1"/>
  <c r="D5" i="4"/>
  <c r="E5" i="4" s="1"/>
  <c r="D17" i="4"/>
  <c r="E17" i="4" s="1"/>
  <c r="D6" i="4"/>
  <c r="E6" i="4" s="1"/>
  <c r="D7" i="4"/>
  <c r="E7" i="4" s="1"/>
  <c r="D14" i="4"/>
  <c r="E14" i="4" s="1"/>
  <c r="D2" i="4"/>
  <c r="D3" i="4"/>
  <c r="E3" i="4" s="1"/>
  <c r="D4" i="4"/>
  <c r="E4" i="4" s="1"/>
  <c r="D12" i="4"/>
  <c r="E12" i="4" s="1"/>
  <c r="D16" i="4"/>
  <c r="E16" i="4" s="1"/>
  <c r="D9" i="4"/>
  <c r="E9" i="4" s="1"/>
  <c r="D8" i="4"/>
  <c r="E8" i="4" s="1"/>
  <c r="E2" i="4" l="1"/>
  <c r="E18" i="4" s="1"/>
  <c r="D1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2B532-AD1B-482C-BF45-1257E0262289}" keepAlive="1" name="Query - CustomerOrdersTable" description="Connection to the 'CustomerOrdersTable' query in the workbook." type="5" refreshedVersion="8" background="1" saveData="1">
    <dbPr connection="Provider=Microsoft.Mashup.OleDb.1;Data Source=$Workbook$;Location=CustomerOrdersTable;Extended Properties=&quot;&quot;" command="SELECT * FROM [CustomerOrdersTable]"/>
  </connection>
  <connection id="2" xr16:uid="{5635751C-854F-4CEF-ABA4-E5D5785713E5}" keepAlive="1" name="Query - CustomerOrdersTable (2)" description="Connection to the 'CustomerOrdersTable (2)' query in the workbook." type="5" refreshedVersion="8" background="1" saveData="1">
    <dbPr connection="Provider=Microsoft.Mashup.OleDb.1;Data Source=$Workbook$;Location=&quot;CustomerOrdersTable (2)&quot;;Extended Properties=&quot;&quot;" command="SELECT * FROM [CustomerOrders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<sst xmlns="http://schemas.openxmlformats.org/spreadsheetml/2006/main" count="2441" uniqueCount="314">
  <si>
    <t>Order_ID</t>
  </si>
  <si>
    <t>Order_Date</t>
  </si>
  <si>
    <t>Customer_ID</t>
  </si>
  <si>
    <t>Customer_Age</t>
  </si>
  <si>
    <t>Gender</t>
  </si>
  <si>
    <t>City</t>
  </si>
  <si>
    <t>Product_Category</t>
  </si>
  <si>
    <t>Product</t>
  </si>
  <si>
    <t>Quantity</t>
  </si>
  <si>
    <t>Unit_Price</t>
  </si>
  <si>
    <t>Discount_Pct</t>
  </si>
  <si>
    <t>Total_Amount</t>
  </si>
  <si>
    <t>Payment_Method</t>
  </si>
  <si>
    <t>Customer_Rating</t>
  </si>
  <si>
    <t>Delivery_Days</t>
  </si>
  <si>
    <t>Returned</t>
  </si>
  <si>
    <t>ORD1002</t>
  </si>
  <si>
    <t>CUST10012</t>
  </si>
  <si>
    <t>Other</t>
  </si>
  <si>
    <t>Mumbai</t>
  </si>
  <si>
    <t>Home &amp; Kitchen</t>
  </si>
  <si>
    <t>Water Bottle</t>
  </si>
  <si>
    <t>Net Banking</t>
  </si>
  <si>
    <t>Yes</t>
  </si>
  <si>
    <t>ORD1003</t>
  </si>
  <si>
    <t>CUST10036</t>
  </si>
  <si>
    <t>Pune</t>
  </si>
  <si>
    <t>Electronics</t>
  </si>
  <si>
    <t>Keyboard</t>
  </si>
  <si>
    <t>No</t>
  </si>
  <si>
    <t>ORD1004</t>
  </si>
  <si>
    <t>CUST10046</t>
  </si>
  <si>
    <t>Navi Mumbai</t>
  </si>
  <si>
    <t>Clothing</t>
  </si>
  <si>
    <t>Kurta</t>
  </si>
  <si>
    <t>Debit Card</t>
  </si>
  <si>
    <t>ORD1005</t>
  </si>
  <si>
    <t>CUST10091</t>
  </si>
  <si>
    <t>Male</t>
  </si>
  <si>
    <t>Nashik</t>
  </si>
  <si>
    <t>Sports</t>
  </si>
  <si>
    <t>Yoga Mat</t>
  </si>
  <si>
    <t>ORD1006</t>
  </si>
  <si>
    <t>T-Shirt</t>
  </si>
  <si>
    <t>ORD1007</t>
  </si>
  <si>
    <t>CUST10119</t>
  </si>
  <si>
    <t>Grocery</t>
  </si>
  <si>
    <t>Rice</t>
  </si>
  <si>
    <t>Credit Card</t>
  </si>
  <si>
    <t>ORD1008</t>
  </si>
  <si>
    <t>CUST10064</t>
  </si>
  <si>
    <t>Nagpur</t>
  </si>
  <si>
    <t>Smart Watch</t>
  </si>
  <si>
    <t>ORD1009</t>
  </si>
  <si>
    <t>CUST10018</t>
  </si>
  <si>
    <t>Ahmedabad</t>
  </si>
  <si>
    <t>ORD1010</t>
  </si>
  <si>
    <t>CUST10060</t>
  </si>
  <si>
    <t>Power Bank</t>
  </si>
  <si>
    <t>ORD1011</t>
  </si>
  <si>
    <t>CUST10001</t>
  </si>
  <si>
    <t>Dry Fruits</t>
  </si>
  <si>
    <t>UPI</t>
  </si>
  <si>
    <t>ORD1012</t>
  </si>
  <si>
    <t>CUST10100</t>
  </si>
  <si>
    <t>Biscuits</t>
  </si>
  <si>
    <t>ORD1013</t>
  </si>
  <si>
    <t>CUST10105</t>
  </si>
  <si>
    <t>Female</t>
  </si>
  <si>
    <t>ORD1014</t>
  </si>
  <si>
    <t>CUST10097</t>
  </si>
  <si>
    <t>Missing</t>
  </si>
  <si>
    <t>Beauty</t>
  </si>
  <si>
    <t>Lip Balm</t>
  </si>
  <si>
    <t>ORD1015</t>
  </si>
  <si>
    <t>CUST10003</t>
  </si>
  <si>
    <t>ORD1016</t>
  </si>
  <si>
    <t>CUST10086</t>
  </si>
  <si>
    <t>ORD1017</t>
  </si>
  <si>
    <t>CUST10013</t>
  </si>
  <si>
    <t>Cash</t>
  </si>
  <si>
    <t>ORD1018</t>
  </si>
  <si>
    <t>CUST10025</t>
  </si>
  <si>
    <t>Face Wash</t>
  </si>
  <si>
    <t>N/A</t>
  </si>
  <si>
    <t>ORD1019</t>
  </si>
  <si>
    <t>CUST10084</t>
  </si>
  <si>
    <t>Hoodie</t>
  </si>
  <si>
    <t>ORD1020</t>
  </si>
  <si>
    <t>CUST10050</t>
  </si>
  <si>
    <t>Thane</t>
  </si>
  <si>
    <t>Sunscreen</t>
  </si>
  <si>
    <t>ORD1021</t>
  </si>
  <si>
    <t>CUST10041</t>
  </si>
  <si>
    <t>ORD1022</t>
  </si>
  <si>
    <t>CUST10009</t>
  </si>
  <si>
    <t>Running Shoes</t>
  </si>
  <si>
    <t>ORD1023</t>
  </si>
  <si>
    <t>CUST10034</t>
  </si>
  <si>
    <t>Surat</t>
  </si>
  <si>
    <t>Table Lamp</t>
  </si>
  <si>
    <t>ORD1024</t>
  </si>
  <si>
    <t>CUST10073</t>
  </si>
  <si>
    <t>Shampoo</t>
  </si>
  <si>
    <t>ORD1025</t>
  </si>
  <si>
    <t>CUST10107</t>
  </si>
  <si>
    <t>Football</t>
  </si>
  <si>
    <t>ORD1026</t>
  </si>
  <si>
    <t>CUST10027</t>
  </si>
  <si>
    <t>Unknown</t>
  </si>
  <si>
    <t>ORD1027</t>
  </si>
  <si>
    <t>CUST10006</t>
  </si>
  <si>
    <t>Sneakers</t>
  </si>
  <si>
    <t>ORD1028</t>
  </si>
  <si>
    <t>CUST10114</t>
  </si>
  <si>
    <t>Jeans</t>
  </si>
  <si>
    <t>ORD1029</t>
  </si>
  <si>
    <t>Cricket Bat</t>
  </si>
  <si>
    <t>ORD1030</t>
  </si>
  <si>
    <t>CUST10004</t>
  </si>
  <si>
    <t>ORD1031</t>
  </si>
  <si>
    <t>CUST10029</t>
  </si>
  <si>
    <t>Coffee</t>
  </si>
  <si>
    <t>ORD1032</t>
  </si>
  <si>
    <t>ORD1033</t>
  </si>
  <si>
    <t>CUST10077</t>
  </si>
  <si>
    <t>ORD1034</t>
  </si>
  <si>
    <t>ORD1035</t>
  </si>
  <si>
    <t>ORD1036</t>
  </si>
  <si>
    <t>CUST10039</t>
  </si>
  <si>
    <t>ORD1037</t>
  </si>
  <si>
    <t>CUST10066</t>
  </si>
  <si>
    <t>Storage Box</t>
  </si>
  <si>
    <t>ORD1038</t>
  </si>
  <si>
    <t>CUST10026</t>
  </si>
  <si>
    <t>ORD1039</t>
  </si>
  <si>
    <t>CUST10032</t>
  </si>
  <si>
    <t>ORD1040</t>
  </si>
  <si>
    <t>CUST10103</t>
  </si>
  <si>
    <t>ORD1041</t>
  </si>
  <si>
    <t>ORD1042</t>
  </si>
  <si>
    <t>CUST10115</t>
  </si>
  <si>
    <t>ORD1043</t>
  </si>
  <si>
    <t>ORD1044</t>
  </si>
  <si>
    <t>ORD1045</t>
  </si>
  <si>
    <t>CUST10118</t>
  </si>
  <si>
    <t>ORD1046</t>
  </si>
  <si>
    <t>CUST10042</t>
  </si>
  <si>
    <t>ORD1047</t>
  </si>
  <si>
    <t>CUST10045</t>
  </si>
  <si>
    <t>Moisturizer</t>
  </si>
  <si>
    <t>ORD1048</t>
  </si>
  <si>
    <t>CUST10015</t>
  </si>
  <si>
    <t>ORD1049</t>
  </si>
  <si>
    <t>CUST10014</t>
  </si>
  <si>
    <t>ORD1050</t>
  </si>
  <si>
    <t>ORD1051</t>
  </si>
  <si>
    <t>ORD1052</t>
  </si>
  <si>
    <t>ORD1053</t>
  </si>
  <si>
    <t>ORD1054</t>
  </si>
  <si>
    <t>ORD1055</t>
  </si>
  <si>
    <t>ORD1056</t>
  </si>
  <si>
    <t>CUST10090</t>
  </si>
  <si>
    <t>ORD1057</t>
  </si>
  <si>
    <t>CUST10095</t>
  </si>
  <si>
    <t>Mixer Grinder</t>
  </si>
  <si>
    <t>ORD1058</t>
  </si>
  <si>
    <t>ORD1059</t>
  </si>
  <si>
    <t>CUST10061</t>
  </si>
  <si>
    <t>ORD1060</t>
  </si>
  <si>
    <t>CUST10088</t>
  </si>
  <si>
    <t>ORD1061</t>
  </si>
  <si>
    <t>CUST10049</t>
  </si>
  <si>
    <t>ORD1062</t>
  </si>
  <si>
    <t>ORD1063</t>
  </si>
  <si>
    <t>CUST10037</t>
  </si>
  <si>
    <t>ORD1064</t>
  </si>
  <si>
    <t>CUST10020</t>
  </si>
  <si>
    <t>Cookware Set</t>
  </si>
  <si>
    <t>ORD1065</t>
  </si>
  <si>
    <t>ORD1067</t>
  </si>
  <si>
    <t>CUST10063</t>
  </si>
  <si>
    <t>ORD1068</t>
  </si>
  <si>
    <t>CUST10052</t>
  </si>
  <si>
    <t>ORD1069</t>
  </si>
  <si>
    <t>CUST10070</t>
  </si>
  <si>
    <t>ORD1070</t>
  </si>
  <si>
    <t>CUST10071</t>
  </si>
  <si>
    <t>ORD1071</t>
  </si>
  <si>
    <t>CUST10002</t>
  </si>
  <si>
    <t>ORD1072</t>
  </si>
  <si>
    <t>CUST10062</t>
  </si>
  <si>
    <t>ORD1073</t>
  </si>
  <si>
    <t>CUST10102</t>
  </si>
  <si>
    <t>ORD1074</t>
  </si>
  <si>
    <t>ORD1075</t>
  </si>
  <si>
    <t>ORD1076</t>
  </si>
  <si>
    <t>CUST10076</t>
  </si>
  <si>
    <t>Olive Oil</t>
  </si>
  <si>
    <t>ORD1077</t>
  </si>
  <si>
    <t>Dumbbells</t>
  </si>
  <si>
    <t>ORD1078</t>
  </si>
  <si>
    <t>ORD1079</t>
  </si>
  <si>
    <t>CUST10008</t>
  </si>
  <si>
    <t>ORD1080</t>
  </si>
  <si>
    <t>CUST10112</t>
  </si>
  <si>
    <t>ORD1081</t>
  </si>
  <si>
    <t>ORD1082</t>
  </si>
  <si>
    <t>ORD1083</t>
  </si>
  <si>
    <t>ORD1084</t>
  </si>
  <si>
    <t>CUST10116</t>
  </si>
  <si>
    <t>ORD1085</t>
  </si>
  <si>
    <t>CUST10017</t>
  </si>
  <si>
    <t>ORD1086</t>
  </si>
  <si>
    <t>CUST10093</t>
  </si>
  <si>
    <t>ORD1087</t>
  </si>
  <si>
    <t>CUST10048</t>
  </si>
  <si>
    <t>ORD1088</t>
  </si>
  <si>
    <t>ORD1089</t>
  </si>
  <si>
    <t>ORD1090</t>
  </si>
  <si>
    <t>CUST10057</t>
  </si>
  <si>
    <t>Bluetooth Speaker</t>
  </si>
  <si>
    <t>ORD1091</t>
  </si>
  <si>
    <t>CUST10028</t>
  </si>
  <si>
    <t>ORD1092</t>
  </si>
  <si>
    <t>CUST10030</t>
  </si>
  <si>
    <t>ORD1093</t>
  </si>
  <si>
    <t>ORD1094</t>
  </si>
  <si>
    <t>ORD1095</t>
  </si>
  <si>
    <t>ORD1096</t>
  </si>
  <si>
    <t>ORD1097</t>
  </si>
  <si>
    <t>CUST10056</t>
  </si>
  <si>
    <t>ORD1098</t>
  </si>
  <si>
    <t>CUST10094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</si>
  <si>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</si>
  <si>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</si>
  <si>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</si>
  <si>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</si>
  <si>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</si>
  <si>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</si>
  <si>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</si>
  <si>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</si>
  <si>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</si>
  <si>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</si>
  <si>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</si>
  <si>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CUST10109</t>
  </si>
  <si>
    <t>ORD1110</t>
  </si>
  <si>
    <t>CUST10010</t>
  </si>
  <si>
    <t>ORD1111</t>
  </si>
  <si>
    <t>ORD1112</t>
  </si>
  <si>
    <t>ORD1113</t>
  </si>
  <si>
    <t>ORD1114</t>
  </si>
  <si>
    <t>CUST10104</t>
  </si>
  <si>
    <t>ORD1115</t>
  </si>
  <si>
    <t>CUST10023</t>
  </si>
  <si>
    <t>ORD1116</t>
  </si>
  <si>
    <t>CUST10044</t>
  </si>
  <si>
    <t>ORD1117</t>
  </si>
  <si>
    <t>CUST10075</t>
  </si>
  <si>
    <t>ORD1118</t>
  </si>
  <si>
    <t>CUST10043</t>
  </si>
  <si>
    <t>ORD1120</t>
  </si>
  <si>
    <t>CUST10080</t>
  </si>
  <si>
    <t>ORD1121</t>
  </si>
  <si>
    <t>CUST10079</t>
  </si>
  <si>
    <t>ORD1122</t>
  </si>
  <si>
    <t>ORD1123</t>
  </si>
  <si>
    <t>CUST10067</t>
  </si>
  <si>
    <t>ORD1124</t>
  </si>
  <si>
    <t>CUST10120</t>
  </si>
  <si>
    <t>ORD1125</t>
  </si>
  <si>
    <t>ORD1126</t>
  </si>
  <si>
    <t>ORD1127</t>
  </si>
  <si>
    <t>CUST10031</t>
  </si>
  <si>
    <t>ORD1128</t>
  </si>
  <si>
    <t>ORD1129</t>
  </si>
  <si>
    <t>CUST10065</t>
  </si>
  <si>
    <t>ORD1130</t>
  </si>
  <si>
    <t>ORD1131</t>
  </si>
  <si>
    <t>ORD1132</t>
  </si>
  <si>
    <t>ORD1133</t>
  </si>
  <si>
    <t>ORD1134</t>
  </si>
  <si>
    <t>CUST10011</t>
  </si>
  <si>
    <t>ORD1135</t>
  </si>
  <si>
    <t>ORD1136</t>
  </si>
  <si>
    <t>ORD1137</t>
  </si>
  <si>
    <t>CUST10005</t>
  </si>
  <si>
    <t>ORD1138</t>
  </si>
  <si>
    <t>ORD1139</t>
  </si>
  <si>
    <t>ORD1140</t>
  </si>
  <si>
    <t>ORD1141</t>
  </si>
  <si>
    <t>ORD1142</t>
  </si>
  <si>
    <t>ORD1143</t>
  </si>
  <si>
    <t>CUST10113</t>
  </si>
  <si>
    <t>ORD1144</t>
  </si>
  <si>
    <t>Wireless Earbuds</t>
  </si>
  <si>
    <t>ORD1145</t>
  </si>
  <si>
    <t>CUST10022</t>
  </si>
  <si>
    <t>ORD1146</t>
  </si>
  <si>
    <t>CUST10083</t>
  </si>
  <si>
    <t>ORD1147</t>
  </si>
  <si>
    <t>ORD1148</t>
  </si>
  <si>
    <t>ORD1149</t>
  </si>
  <si>
    <t>CUST10019</t>
  </si>
  <si>
    <t>ORD1151</t>
  </si>
  <si>
    <t>CUST10007</t>
  </si>
  <si>
    <t>Column</t>
  </si>
  <si>
    <t>True Blanks</t>
  </si>
  <si>
    <t>Encoded Markers</t>
  </si>
  <si>
    <t>Total Missing</t>
  </si>
  <si>
    <t>% of 150</t>
  </si>
  <si>
    <t>Duplicates</t>
  </si>
  <si>
    <t>SUB-TOTALS</t>
  </si>
  <si>
    <t>Of 150 order records, missingness appears in two forms: true blanks (Age, Gender, Rating, Delivery_Days, Returned, Unit_Price, Total Amount, Product_Category) and encoded markers ('Missing' in City, 'Unknown' in Payment_Method, 'N/A' in Discount_Pct) — meaning a naive null-count would have under-reported missing data. Total_Amount is missing only when Discount or Unit_Price is missing (dependent missingness), so rows were flagged rather than dropped. Two Order_IDs (ORD1022, ORD1043) are duplicated.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</si>
</sst>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Uber Move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4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2" fillId="2" borderId="1" xfId="0" applyFont="1" applyFill="1" applyBorder="1"/>
    <xf numFmtId="0" fontId="1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/>
    <xf numFmtId="164" fontId="3" fillId="4" borderId="1" xfId="0" applyNumberFormat="1" applyFont="1" applyFill="1" applyBorder="1" applyAlignment="1"/>
    <xf numFmtId="0" fontId="5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3AAE4B-C5CF-4218-8ABE-4F12CF4CE347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Order_Date" tableColumnId="2"/>
      <queryTableField id="3" name="Customer_ID" tableColumnId="3"/>
      <queryTableField id="4" name="Customer_Age" tableColumnId="4"/>
      <queryTableField id="5" name="Gender" tableColumnId="5"/>
      <queryTableField id="6" name="City" tableColumnId="6"/>
      <queryTableField id="7" name="Product_Category" tableColumnId="7"/>
      <queryTableField id="8" name="Product" tableColumnId="8"/>
      <queryTableField id="9" name="Quantity" tableColumnId="9"/>
      <queryTableField id="10" name="Unit_Price" tableColumnId="10"/>
      <queryTableField id="11" name="Discount_Pct" tableColumnId="11"/>
      <queryTableField id="12" name="Total_Amount" tableColumnId="12"/>
      <queryTableField id="13" name="Payment_Method" tableColumnId="13"/>
      <queryTableField id="14" name="Customer_Rating" tableColumnId="14"/>
      <queryTableField id="15" name="Delivery_Days" tableColumnId="15"/>
      <queryTableField id="16" name="Returned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D3D449C-7832-4B73-8D4F-6D82A0C44462}" autoFormatId="16" applyNumberFormats="0" applyBorderFormats="0" applyFontFormats="0" applyPatternFormats="0" applyAlignmentFormats="0" applyWidthHeightFormats="0">
  <queryTableRefresh nextId="19" unboundColumnsRight="1">
    <queryTableFields count="17">
      <queryTableField id="1" name="Order_ID" tableColumnId="1"/>
      <queryTableField id="2" name="Order_Date" tableColumnId="2"/>
      <queryTableField id="3" name="Customer_ID" tableColumnId="3"/>
      <queryTableField id="4" name="Customer_Age" tableColumnId="4"/>
      <queryTableField id="5" name="Gender" tableColumnId="5"/>
      <queryTableField id="6" name="City" tableColumnId="6"/>
      <queryTableField id="7" name="Product_Category" tableColumnId="7"/>
      <queryTableField id="8" name="Product" tableColumnId="8"/>
      <queryTableField id="9" name="Quantity" tableColumnId="9"/>
      <queryTableField id="10" name="Unit_Price" tableColumnId="10"/>
      <queryTableField id="11" name="Discount_Pct" tableColumnId="11"/>
      <queryTableField id="12" name="Total_Amount" tableColumnId="12"/>
      <queryTableField id="13" name="Payment_Method" tableColumnId="13"/>
      <queryTableField id="14" name="Customer_Rating" tableColumnId="14"/>
      <queryTableField id="15" name="Delivery_Days" tableColumnId="15"/>
      <queryTableField id="16" name="Returned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E9D31E-C171-454E-A0B2-6E7C63550572}" name="Customers" displayName="Customers" ref="A1:P151" tableType="queryTable" totalsRowShown="0">
  <autoFilter ref="A1:P151" xr:uid="{19E9D31E-C171-454E-A0B2-6E7C63550572}"/>
  <tableColumns count="16">
    <tableColumn id="1" xr3:uid="{87D5EAF9-76AD-48D8-ACDC-FBB92D001EB8}" uniqueName="1" name="Order_ID" queryTableFieldId="1" dataDxfId="17"/>
    <tableColumn id="2" xr3:uid="{DEF48AD9-DEAA-4D9B-BAB9-EA779991093D}" uniqueName="2" name="Order_Date" queryTableFieldId="2"/>
    <tableColumn id="3" xr3:uid="{9436E110-88ED-4D3F-93F9-B2CCE40109C8}" uniqueName="3" name="Customer_ID" queryTableFieldId="3" dataDxfId="16"/>
    <tableColumn id="4" xr3:uid="{26674E7D-7AD5-4933-ABED-D6CA5E6539D1}" uniqueName="4" name="Customer_Age" queryTableFieldId="4"/>
    <tableColumn id="5" xr3:uid="{7952DF5B-259E-4EF3-85E8-2A530F6FCCBF}" uniqueName="5" name="Gender" queryTableFieldId="5" dataDxfId="15"/>
    <tableColumn id="6" xr3:uid="{CF2046FB-04A5-4D2D-AFD1-0C35FB3B8A2D}" uniqueName="6" name="City" queryTableFieldId="6" dataDxfId="14"/>
    <tableColumn id="7" xr3:uid="{E1F04AB6-A471-4F8F-AA0F-D88BE3479158}" uniqueName="7" name="Product_Category" queryTableFieldId="7" dataDxfId="13"/>
    <tableColumn id="8" xr3:uid="{3045FD14-7B81-44F4-A0BD-A12B00B6465E}" uniqueName="8" name="Product" queryTableFieldId="8" dataDxfId="12"/>
    <tableColumn id="9" xr3:uid="{CB8CCA78-17C6-4C4A-9A5F-17E7BB2DAE51}" uniqueName="9" name="Quantity" queryTableFieldId="9"/>
    <tableColumn id="10" xr3:uid="{83E5E3CB-F7BE-4E0D-B91D-FBAE2B923C06}" uniqueName="10" name="Unit_Price" queryTableFieldId="10"/>
    <tableColumn id="11" xr3:uid="{33325E79-F8C1-492E-A2F0-3A1CC4805E94}" uniqueName="11" name="Discount_Pct" queryTableFieldId="11"/>
    <tableColumn id="12" xr3:uid="{7CAC14C2-8492-4511-93EE-39B1E2C341A2}" uniqueName="12" name="Total_Amount" queryTableFieldId="12"/>
    <tableColumn id="13" xr3:uid="{41FBCE34-42F8-43F9-BF8C-ABF3DE9E4514}" uniqueName="13" name="Payment_Method" queryTableFieldId="13" dataDxfId="11"/>
    <tableColumn id="14" xr3:uid="{AE6A51BB-8225-4CBB-89D7-DC90BDBB7FA2}" uniqueName="14" name="Customer_Rating" queryTableFieldId="14"/>
    <tableColumn id="15" xr3:uid="{3ABA82DA-694B-4A44-9052-CE5111BDF898}" uniqueName="15" name="Delivery_Days" queryTableFieldId="15"/>
    <tableColumn id="16" xr3:uid="{7CCB3838-69D7-4A87-A6D7-C9B11337EA50}" uniqueName="16" name="Returned" queryTableFieldId="16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0904F3-D526-4B02-8BDD-42BB82E0ECE1}" name="Orders" displayName="Orders" ref="A1:Q151" tableType="queryTable" totalsRowShown="0">
  <autoFilter ref="A1:Q151" xr:uid="{19E9D31E-C171-454E-A0B2-6E7C63550572}"/>
  <tableColumns count="17">
    <tableColumn id="1" xr3:uid="{BAC2FDA2-43F7-4D11-8CC7-73C0AC10985E}" uniqueName="1" name="Order_ID" queryTableFieldId="1" dataDxfId="9"/>
    <tableColumn id="2" xr3:uid="{66B38BC3-AD56-47AC-B2E9-0362A33388E8}" uniqueName="2" name="Order_Date" queryTableFieldId="2"/>
    <tableColumn id="3" xr3:uid="{2C09FF77-8A12-4F26-9BFC-B0D9F19F5241}" uniqueName="3" name="Customer_ID" queryTableFieldId="3" dataDxfId="8"/>
    <tableColumn id="4" xr3:uid="{4D2314CD-8C60-4D4F-B3AA-CDE107E93BD8}" uniqueName="4" name="Customer_Age" queryTableFieldId="4"/>
    <tableColumn id="5" xr3:uid="{77D7194A-B1F3-4FAF-9B24-1A7069550BA1}" uniqueName="5" name="Gender" queryTableFieldId="5" dataDxfId="7"/>
    <tableColumn id="6" xr3:uid="{E87B4CFA-E82C-4D18-AF05-79C575E748B3}" uniqueName="6" name="City" queryTableFieldId="6" dataDxfId="6"/>
    <tableColumn id="7" xr3:uid="{DFC35601-E83D-4D1B-8E5A-10B92A8D3477}" uniqueName="7" name="Product_Category" queryTableFieldId="7" dataDxfId="5"/>
    <tableColumn id="8" xr3:uid="{83D60F46-4865-46A0-B6A0-ECB0CA5B163B}" uniqueName="8" name="Product" queryTableFieldId="8" dataDxfId="4"/>
    <tableColumn id="9" xr3:uid="{6C0C6141-61C3-44D6-B868-C532FF6BF28C}" uniqueName="9" name="Quantity" queryTableFieldId="9"/>
    <tableColumn id="10" xr3:uid="{27E540CD-3C14-47F5-9DCE-E3DD6E7DC151}" uniqueName="10" name="Unit_Price" queryTableFieldId="10"/>
    <tableColumn id="11" xr3:uid="{6D1089C0-F823-45D3-9BC2-E77114B26A69}" uniqueName="11" name="Discount_Pct" queryTableFieldId="11"/>
    <tableColumn id="12" xr3:uid="{38C084B4-6BA1-4245-A54D-4B701424FE96}" uniqueName="12" name="Total_Amount" queryTableFieldId="12"/>
    <tableColumn id="13" xr3:uid="{011C6107-0775-4BFA-BD7F-DFA57394E1F0}" uniqueName="13" name="Payment_Method" queryTableFieldId="13" dataDxfId="3"/>
    <tableColumn id="14" xr3:uid="{F2F06750-EB0E-427B-AC4D-6D81B4ED277A}" uniqueName="14" name="Customer_Rating" queryTableFieldId="14"/>
    <tableColumn id="15" xr3:uid="{4C914E47-945F-4E34-B462-FA84FB2A347B}" uniqueName="15" name="Delivery_Days" queryTableFieldId="15"/>
    <tableColumn id="16" xr3:uid="{949FD313-05A3-45B6-B0AB-7FDFA836BACE}" uniqueName="16" name="Returned" queryTableFieldId="16" dataDxfId="2"/>
    <tableColumn id="17" xr3:uid="{6AAF0639-3D7F-4846-939A-5718D26EA596}" uniqueName="17" name="Duplicates" queryTableFieldId="17" dataDxfId="1">
      <calculatedColumnFormula>COUNTIF($A$2:$A2,$A2)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259F-2BA5-4FED-9859-0DBBC6F0CAEA}">
  <dimension ref="A1:P151"/>
  <sheetViews>
    <sheetView workbookViewId="0">
      <selection activeCell="J16" sqref="J16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5.6640625" bestFit="1" customWidth="1"/>
    <col min="5" max="5" width="9.33203125" bestFit="1" customWidth="1"/>
    <col min="6" max="6" width="11.77734375" bestFit="1" customWidth="1"/>
    <col min="7" max="7" width="18.5546875" bestFit="1" customWidth="1"/>
    <col min="8" max="8" width="16.109375" bestFit="1" customWidth="1"/>
    <col min="9" max="9" width="10.5546875" bestFit="1" customWidth="1"/>
    <col min="10" max="10" width="11.88671875" bestFit="1" customWidth="1"/>
    <col min="11" max="11" width="14.21875" bestFit="1" customWidth="1"/>
    <col min="12" max="12" width="15.44140625" bestFit="1" customWidth="1"/>
    <col min="13" max="13" width="18.6640625" bestFit="1" customWidth="1"/>
    <col min="14" max="14" width="17.77734375" bestFit="1" customWidth="1"/>
    <col min="15" max="15" width="15" bestFit="1" customWidth="1"/>
    <col min="16" max="16" width="11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>
        <v>46081</v>
      </c>
      <c r="C2" s="1" t="s">
        <v>17</v>
      </c>
      <c r="D2">
        <v>35</v>
      </c>
      <c r="E2" s="1" t="s">
        <v>18</v>
      </c>
      <c r="F2" s="1" t="s">
        <v>19</v>
      </c>
      <c r="G2" s="1" t="s">
        <v>20</v>
      </c>
      <c r="H2" s="1" t="s">
        <v>21</v>
      </c>
      <c r="I2">
        <v>2</v>
      </c>
      <c r="J2">
        <v>6291.63</v>
      </c>
      <c r="K2">
        <v>20</v>
      </c>
      <c r="L2">
        <v>10066.61</v>
      </c>
      <c r="M2" s="1" t="s">
        <v>22</v>
      </c>
      <c r="N2">
        <v>1</v>
      </c>
      <c r="O2">
        <v>7</v>
      </c>
      <c r="P2" s="1" t="s">
        <v>23</v>
      </c>
    </row>
    <row r="3" spans="1:16" x14ac:dyDescent="0.3">
      <c r="A3" s="1" t="s">
        <v>24</v>
      </c>
      <c r="B3">
        <v>46135</v>
      </c>
      <c r="C3" s="1" t="s">
        <v>25</v>
      </c>
      <c r="D3">
        <v>56</v>
      </c>
      <c r="E3" s="1" t="s">
        <v>18</v>
      </c>
      <c r="F3" s="1" t="s">
        <v>26</v>
      </c>
      <c r="G3" s="1" t="s">
        <v>27</v>
      </c>
      <c r="H3" s="1" t="s">
        <v>28</v>
      </c>
      <c r="I3">
        <v>2</v>
      </c>
      <c r="J3">
        <v>6120.24</v>
      </c>
      <c r="K3">
        <v>20</v>
      </c>
      <c r="L3">
        <v>9792.3799999999992</v>
      </c>
      <c r="M3" s="1" t="s">
        <v>22</v>
      </c>
      <c r="N3">
        <v>4</v>
      </c>
      <c r="O3">
        <v>4</v>
      </c>
      <c r="P3" s="1" t="s">
        <v>29</v>
      </c>
    </row>
    <row r="4" spans="1:16" x14ac:dyDescent="0.3">
      <c r="A4" s="1" t="s">
        <v>30</v>
      </c>
      <c r="B4">
        <v>46027</v>
      </c>
      <c r="C4" s="1" t="s">
        <v>31</v>
      </c>
      <c r="D4">
        <v>45</v>
      </c>
      <c r="E4" s="1" t="s">
        <v>18</v>
      </c>
      <c r="F4" s="1" t="s">
        <v>32</v>
      </c>
      <c r="G4" s="1" t="s">
        <v>33</v>
      </c>
      <c r="H4" s="1" t="s">
        <v>34</v>
      </c>
      <c r="I4">
        <v>2</v>
      </c>
      <c r="J4">
        <v>1924.33</v>
      </c>
      <c r="K4">
        <v>25</v>
      </c>
      <c r="L4">
        <v>2886.49</v>
      </c>
      <c r="M4" s="1" t="s">
        <v>35</v>
      </c>
      <c r="N4">
        <v>1</v>
      </c>
      <c r="O4">
        <v>2</v>
      </c>
      <c r="P4" s="1" t="s">
        <v>29</v>
      </c>
    </row>
    <row r="5" spans="1:16" x14ac:dyDescent="0.3">
      <c r="A5" s="1" t="s">
        <v>36</v>
      </c>
      <c r="B5">
        <v>46200</v>
      </c>
      <c r="C5" s="1" t="s">
        <v>37</v>
      </c>
      <c r="D5">
        <v>47</v>
      </c>
      <c r="E5" s="1" t="s">
        <v>38</v>
      </c>
      <c r="F5" s="1" t="s">
        <v>39</v>
      </c>
      <c r="G5" s="1" t="s">
        <v>40</v>
      </c>
      <c r="H5" s="1" t="s">
        <v>41</v>
      </c>
      <c r="I5">
        <v>4</v>
      </c>
      <c r="K5">
        <v>5</v>
      </c>
      <c r="M5" s="1" t="s">
        <v>22</v>
      </c>
      <c r="N5">
        <v>5</v>
      </c>
      <c r="O5">
        <v>6</v>
      </c>
      <c r="P5" s="1" t="s">
        <v>29</v>
      </c>
    </row>
    <row r="6" spans="1:16" x14ac:dyDescent="0.3">
      <c r="A6" s="1" t="s">
        <v>42</v>
      </c>
      <c r="B6">
        <v>46059</v>
      </c>
      <c r="C6" s="1" t="s">
        <v>31</v>
      </c>
      <c r="D6">
        <v>32</v>
      </c>
      <c r="E6" s="1" t="s">
        <v>18</v>
      </c>
      <c r="F6" s="1" t="s">
        <v>19</v>
      </c>
      <c r="G6" s="1" t="s">
        <v>33</v>
      </c>
      <c r="H6" s="1" t="s">
        <v>43</v>
      </c>
      <c r="I6">
        <v>2</v>
      </c>
      <c r="J6">
        <v>7381.13</v>
      </c>
      <c r="K6">
        <v>10</v>
      </c>
      <c r="L6">
        <v>13286.03</v>
      </c>
      <c r="M6" s="1" t="s">
        <v>35</v>
      </c>
      <c r="N6">
        <v>4</v>
      </c>
      <c r="O6">
        <v>6</v>
      </c>
      <c r="P6" s="1" t="s">
        <v>29</v>
      </c>
    </row>
    <row r="7" spans="1:16" x14ac:dyDescent="0.3">
      <c r="A7" s="1" t="s">
        <v>44</v>
      </c>
      <c r="B7">
        <v>46131</v>
      </c>
      <c r="C7" s="1" t="s">
        <v>45</v>
      </c>
      <c r="D7">
        <v>61</v>
      </c>
      <c r="E7" s="1"/>
      <c r="F7" s="1" t="s">
        <v>39</v>
      </c>
      <c r="G7" s="1" t="s">
        <v>46</v>
      </c>
      <c r="H7" s="1" t="s">
        <v>47</v>
      </c>
      <c r="I7">
        <v>5</v>
      </c>
      <c r="J7">
        <v>5441.12</v>
      </c>
      <c r="K7">
        <v>15</v>
      </c>
      <c r="L7">
        <v>23124.76</v>
      </c>
      <c r="M7" s="1" t="s">
        <v>48</v>
      </c>
      <c r="N7">
        <v>2</v>
      </c>
      <c r="O7">
        <v>8</v>
      </c>
      <c r="P7" s="1" t="s">
        <v>29</v>
      </c>
    </row>
    <row r="8" spans="1:16" x14ac:dyDescent="0.3">
      <c r="A8" s="1" t="s">
        <v>49</v>
      </c>
      <c r="B8">
        <v>46136</v>
      </c>
      <c r="C8" s="1" t="s">
        <v>50</v>
      </c>
      <c r="D8">
        <v>32</v>
      </c>
      <c r="E8" s="1" t="s">
        <v>38</v>
      </c>
      <c r="F8" s="1" t="s">
        <v>51</v>
      </c>
      <c r="G8" s="1" t="s">
        <v>27</v>
      </c>
      <c r="H8" s="1" t="s">
        <v>52</v>
      </c>
      <c r="I8">
        <v>4</v>
      </c>
      <c r="J8">
        <v>2363.67</v>
      </c>
      <c r="K8">
        <v>0</v>
      </c>
      <c r="L8">
        <v>9454.68</v>
      </c>
      <c r="M8" s="1" t="s">
        <v>22</v>
      </c>
      <c r="N8">
        <v>5</v>
      </c>
      <c r="O8">
        <v>6</v>
      </c>
      <c r="P8" s="1" t="s">
        <v>29</v>
      </c>
    </row>
    <row r="9" spans="1:16" x14ac:dyDescent="0.3">
      <c r="A9" s="1" t="s">
        <v>53</v>
      </c>
      <c r="B9">
        <v>46226</v>
      </c>
      <c r="C9" s="1" t="s">
        <v>54</v>
      </c>
      <c r="E9" s="1" t="s">
        <v>38</v>
      </c>
      <c r="F9" s="1" t="s">
        <v>55</v>
      </c>
      <c r="G9" s="1" t="s">
        <v>20</v>
      </c>
      <c r="H9" s="1" t="s">
        <v>21</v>
      </c>
      <c r="I9">
        <v>5</v>
      </c>
      <c r="J9">
        <v>4636.63</v>
      </c>
      <c r="K9">
        <v>20</v>
      </c>
      <c r="L9">
        <v>18546.52</v>
      </c>
      <c r="M9" s="1" t="s">
        <v>22</v>
      </c>
      <c r="N9">
        <v>4</v>
      </c>
      <c r="O9">
        <v>7</v>
      </c>
      <c r="P9" s="1" t="s">
        <v>29</v>
      </c>
    </row>
    <row r="10" spans="1:16" x14ac:dyDescent="0.3">
      <c r="A10" s="1" t="s">
        <v>56</v>
      </c>
      <c r="B10">
        <v>46284</v>
      </c>
      <c r="C10" s="1" t="s">
        <v>57</v>
      </c>
      <c r="D10">
        <v>21</v>
      </c>
      <c r="E10" s="1" t="s">
        <v>38</v>
      </c>
      <c r="F10" s="1" t="s">
        <v>55</v>
      </c>
      <c r="G10" s="1" t="s">
        <v>27</v>
      </c>
      <c r="H10" s="1" t="s">
        <v>58</v>
      </c>
      <c r="I10">
        <v>2</v>
      </c>
      <c r="J10">
        <v>6757.63</v>
      </c>
      <c r="K10">
        <v>10</v>
      </c>
      <c r="L10">
        <v>12163.73</v>
      </c>
      <c r="M10" s="1" t="s">
        <v>22</v>
      </c>
      <c r="N10">
        <v>1</v>
      </c>
      <c r="O10">
        <v>7</v>
      </c>
      <c r="P10" s="1" t="s">
        <v>29</v>
      </c>
    </row>
    <row r="11" spans="1:16" x14ac:dyDescent="0.3">
      <c r="A11" s="1" t="s">
        <v>59</v>
      </c>
      <c r="B11">
        <v>46152</v>
      </c>
      <c r="C11" s="1" t="s">
        <v>60</v>
      </c>
      <c r="D11">
        <v>25</v>
      </c>
      <c r="E11" s="1" t="s">
        <v>18</v>
      </c>
      <c r="F11" s="1" t="s">
        <v>19</v>
      </c>
      <c r="G11" s="1" t="s">
        <v>46</v>
      </c>
      <c r="H11" s="1" t="s">
        <v>61</v>
      </c>
      <c r="I11">
        <v>3</v>
      </c>
      <c r="J11">
        <v>6560.86</v>
      </c>
      <c r="K11">
        <v>5</v>
      </c>
      <c r="L11">
        <v>18698.45</v>
      </c>
      <c r="M11" s="1" t="s">
        <v>62</v>
      </c>
      <c r="N11">
        <v>3</v>
      </c>
      <c r="O11">
        <v>7</v>
      </c>
      <c r="P11" s="1" t="s">
        <v>29</v>
      </c>
    </row>
    <row r="12" spans="1:16" x14ac:dyDescent="0.3">
      <c r="A12" s="1" t="s">
        <v>63</v>
      </c>
      <c r="B12">
        <v>46158</v>
      </c>
      <c r="C12" s="1" t="s">
        <v>64</v>
      </c>
      <c r="D12">
        <v>24</v>
      </c>
      <c r="E12" s="1" t="s">
        <v>18</v>
      </c>
      <c r="F12" s="1" t="s">
        <v>32</v>
      </c>
      <c r="G12" s="1" t="s">
        <v>46</v>
      </c>
      <c r="H12" s="1" t="s">
        <v>65</v>
      </c>
      <c r="I12">
        <v>5</v>
      </c>
      <c r="J12">
        <v>5223.17</v>
      </c>
      <c r="K12">
        <v>0</v>
      </c>
      <c r="L12">
        <v>26115.85</v>
      </c>
      <c r="M12" s="1" t="s">
        <v>35</v>
      </c>
      <c r="N12">
        <v>5</v>
      </c>
      <c r="O12">
        <v>3</v>
      </c>
      <c r="P12" s="1" t="s">
        <v>29</v>
      </c>
    </row>
    <row r="13" spans="1:16" x14ac:dyDescent="0.3">
      <c r="A13" s="1" t="s">
        <v>66</v>
      </c>
      <c r="B13">
        <v>46024</v>
      </c>
      <c r="C13" s="1" t="s">
        <v>67</v>
      </c>
      <c r="D13">
        <v>19</v>
      </c>
      <c r="E13" s="1" t="s">
        <v>68</v>
      </c>
      <c r="F13" s="1" t="s">
        <v>51</v>
      </c>
      <c r="G13" s="1" t="s">
        <v>27</v>
      </c>
      <c r="H13" s="1" t="s">
        <v>52</v>
      </c>
      <c r="I13">
        <v>3</v>
      </c>
      <c r="J13">
        <v>2126.61</v>
      </c>
      <c r="K13">
        <v>0</v>
      </c>
      <c r="L13">
        <v>6379.83</v>
      </c>
      <c r="M13" s="1" t="s">
        <v>22</v>
      </c>
      <c r="N13">
        <v>1</v>
      </c>
      <c r="O13">
        <v>2</v>
      </c>
      <c r="P13" s="1" t="s">
        <v>29</v>
      </c>
    </row>
    <row r="14" spans="1:16" x14ac:dyDescent="0.3">
      <c r="A14" s="1" t="s">
        <v>69</v>
      </c>
      <c r="B14">
        <v>46059</v>
      </c>
      <c r="C14" s="1" t="s">
        <v>70</v>
      </c>
      <c r="D14">
        <v>60</v>
      </c>
      <c r="E14" s="1" t="s">
        <v>38</v>
      </c>
      <c r="F14" s="1" t="s">
        <v>71</v>
      </c>
      <c r="G14" s="1" t="s">
        <v>72</v>
      </c>
      <c r="H14" s="1" t="s">
        <v>73</v>
      </c>
      <c r="I14">
        <v>2</v>
      </c>
      <c r="J14">
        <v>2341.17</v>
      </c>
      <c r="K14">
        <v>25</v>
      </c>
      <c r="L14">
        <v>3511.76</v>
      </c>
      <c r="M14" s="1" t="s">
        <v>22</v>
      </c>
      <c r="N14">
        <v>4</v>
      </c>
      <c r="O14">
        <v>4</v>
      </c>
      <c r="P14" s="1" t="s">
        <v>29</v>
      </c>
    </row>
    <row r="15" spans="1:16" x14ac:dyDescent="0.3">
      <c r="A15" s="1" t="s">
        <v>74</v>
      </c>
      <c r="B15">
        <v>46126</v>
      </c>
      <c r="C15" s="1" t="s">
        <v>75</v>
      </c>
      <c r="D15">
        <v>60</v>
      </c>
      <c r="E15" s="1" t="s">
        <v>68</v>
      </c>
      <c r="F15" s="1" t="s">
        <v>39</v>
      </c>
      <c r="G15" s="1" t="s">
        <v>46</v>
      </c>
      <c r="H15" s="1" t="s">
        <v>65</v>
      </c>
      <c r="I15">
        <v>4</v>
      </c>
      <c r="J15">
        <v>7658.77</v>
      </c>
      <c r="K15">
        <v>10</v>
      </c>
      <c r="L15">
        <v>27571.57</v>
      </c>
      <c r="M15" s="1" t="s">
        <v>62</v>
      </c>
      <c r="N15">
        <v>2</v>
      </c>
      <c r="O15">
        <v>4</v>
      </c>
      <c r="P15" s="1" t="s">
        <v>23</v>
      </c>
    </row>
    <row r="16" spans="1:16" x14ac:dyDescent="0.3">
      <c r="A16" s="1" t="s">
        <v>76</v>
      </c>
      <c r="B16">
        <v>46141</v>
      </c>
      <c r="C16" s="1" t="s">
        <v>77</v>
      </c>
      <c r="D16">
        <v>22</v>
      </c>
      <c r="E16" s="1" t="s">
        <v>38</v>
      </c>
      <c r="F16" s="1" t="s">
        <v>26</v>
      </c>
      <c r="G16" s="1" t="s">
        <v>46</v>
      </c>
      <c r="H16" s="1" t="s">
        <v>47</v>
      </c>
      <c r="I16">
        <v>2</v>
      </c>
      <c r="J16">
        <v>684.81</v>
      </c>
      <c r="K16">
        <v>0</v>
      </c>
      <c r="L16">
        <v>1369.62</v>
      </c>
      <c r="M16" s="1" t="s">
        <v>35</v>
      </c>
      <c r="O16">
        <v>9</v>
      </c>
      <c r="P16" s="1" t="s">
        <v>29</v>
      </c>
    </row>
    <row r="17" spans="1:16" x14ac:dyDescent="0.3">
      <c r="A17" s="1" t="s">
        <v>78</v>
      </c>
      <c r="B17">
        <v>46272</v>
      </c>
      <c r="C17" s="1" t="s">
        <v>79</v>
      </c>
      <c r="D17">
        <v>26</v>
      </c>
      <c r="E17" s="1" t="s">
        <v>18</v>
      </c>
      <c r="F17" s="1" t="s">
        <v>26</v>
      </c>
      <c r="G17" s="1" t="s">
        <v>46</v>
      </c>
      <c r="H17" s="1" t="s">
        <v>61</v>
      </c>
      <c r="I17">
        <v>5</v>
      </c>
      <c r="J17">
        <v>4080.98</v>
      </c>
      <c r="K17">
        <v>25</v>
      </c>
      <c r="L17">
        <v>15303.68</v>
      </c>
      <c r="M17" s="1" t="s">
        <v>80</v>
      </c>
      <c r="N17">
        <v>5</v>
      </c>
      <c r="O17">
        <v>7</v>
      </c>
      <c r="P17" s="1" t="s">
        <v>29</v>
      </c>
    </row>
    <row r="18" spans="1:16" x14ac:dyDescent="0.3">
      <c r="A18" s="1" t="s">
        <v>81</v>
      </c>
      <c r="B18">
        <v>46244</v>
      </c>
      <c r="C18" s="1" t="s">
        <v>82</v>
      </c>
      <c r="D18">
        <v>44</v>
      </c>
      <c r="E18" s="1" t="s">
        <v>68</v>
      </c>
      <c r="F18" s="1" t="s">
        <v>51</v>
      </c>
      <c r="G18" s="1" t="s">
        <v>72</v>
      </c>
      <c r="H18" s="1" t="s">
        <v>83</v>
      </c>
      <c r="I18">
        <v>1</v>
      </c>
      <c r="J18">
        <v>627.92999999999995</v>
      </c>
      <c r="K18" t="s">
        <v>84</v>
      </c>
      <c r="M18" s="1" t="s">
        <v>35</v>
      </c>
      <c r="N18">
        <v>5</v>
      </c>
      <c r="O18">
        <v>2</v>
      </c>
      <c r="P18" s="1" t="s">
        <v>29</v>
      </c>
    </row>
    <row r="19" spans="1:16" x14ac:dyDescent="0.3">
      <c r="A19" s="1" t="s">
        <v>85</v>
      </c>
      <c r="B19">
        <v>46253</v>
      </c>
      <c r="C19" s="1" t="s">
        <v>86</v>
      </c>
      <c r="D19">
        <v>29</v>
      </c>
      <c r="E19" s="1" t="s">
        <v>68</v>
      </c>
      <c r="F19" s="1" t="s">
        <v>32</v>
      </c>
      <c r="G19" s="1" t="s">
        <v>33</v>
      </c>
      <c r="H19" s="1" t="s">
        <v>87</v>
      </c>
      <c r="I19">
        <v>2</v>
      </c>
      <c r="J19">
        <v>7448.19</v>
      </c>
      <c r="K19">
        <v>0</v>
      </c>
      <c r="L19">
        <v>14896.38</v>
      </c>
      <c r="M19" s="1" t="s">
        <v>80</v>
      </c>
      <c r="N19">
        <v>5</v>
      </c>
      <c r="O19">
        <v>9</v>
      </c>
      <c r="P19" s="1" t="s">
        <v>23</v>
      </c>
    </row>
    <row r="20" spans="1:16" x14ac:dyDescent="0.3">
      <c r="A20" s="1" t="s">
        <v>88</v>
      </c>
      <c r="B20">
        <v>46031</v>
      </c>
      <c r="C20" s="1" t="s">
        <v>89</v>
      </c>
      <c r="D20">
        <v>28</v>
      </c>
      <c r="E20" s="1" t="s">
        <v>38</v>
      </c>
      <c r="F20" s="1" t="s">
        <v>90</v>
      </c>
      <c r="G20" s="1"/>
      <c r="H20" s="1" t="s">
        <v>91</v>
      </c>
      <c r="I20">
        <v>4</v>
      </c>
      <c r="J20">
        <v>1911.2</v>
      </c>
      <c r="K20">
        <v>10</v>
      </c>
      <c r="L20">
        <v>6880.32</v>
      </c>
      <c r="M20" s="1" t="s">
        <v>62</v>
      </c>
      <c r="N20">
        <v>2</v>
      </c>
      <c r="O20">
        <v>7</v>
      </c>
      <c r="P20" s="1" t="s">
        <v>23</v>
      </c>
    </row>
    <row r="21" spans="1:16" x14ac:dyDescent="0.3">
      <c r="A21" s="1" t="s">
        <v>92</v>
      </c>
      <c r="B21">
        <v>46159</v>
      </c>
      <c r="C21" s="1" t="s">
        <v>93</v>
      </c>
      <c r="D21">
        <v>45</v>
      </c>
      <c r="E21" s="1" t="s">
        <v>68</v>
      </c>
      <c r="F21" s="1" t="s">
        <v>55</v>
      </c>
      <c r="G21" s="1" t="s">
        <v>46</v>
      </c>
      <c r="H21" s="1" t="s">
        <v>61</v>
      </c>
      <c r="I21">
        <v>4</v>
      </c>
      <c r="J21">
        <v>1417.2</v>
      </c>
      <c r="K21">
        <v>5</v>
      </c>
      <c r="L21">
        <v>5385.36</v>
      </c>
      <c r="M21" s="1" t="s">
        <v>48</v>
      </c>
      <c r="N21">
        <v>1</v>
      </c>
      <c r="O21">
        <v>9</v>
      </c>
      <c r="P21" s="1" t="s">
        <v>23</v>
      </c>
    </row>
    <row r="22" spans="1:16" x14ac:dyDescent="0.3">
      <c r="A22" s="1" t="s">
        <v>94</v>
      </c>
      <c r="B22">
        <v>46053</v>
      </c>
      <c r="C22" s="1" t="s">
        <v>95</v>
      </c>
      <c r="D22">
        <v>48</v>
      </c>
      <c r="E22" s="1" t="s">
        <v>18</v>
      </c>
      <c r="F22" s="1" t="s">
        <v>19</v>
      </c>
      <c r="G22" s="1" t="s">
        <v>40</v>
      </c>
      <c r="H22" s="1" t="s">
        <v>96</v>
      </c>
      <c r="I22">
        <v>2</v>
      </c>
      <c r="J22">
        <v>596.65</v>
      </c>
      <c r="K22">
        <v>15</v>
      </c>
      <c r="L22">
        <v>1014.3</v>
      </c>
      <c r="M22" s="1" t="s">
        <v>62</v>
      </c>
      <c r="N22">
        <v>5</v>
      </c>
      <c r="P22" s="1" t="s">
        <v>23</v>
      </c>
    </row>
    <row r="23" spans="1:16" x14ac:dyDescent="0.3">
      <c r="A23" s="1" t="s">
        <v>97</v>
      </c>
      <c r="B23">
        <v>46144</v>
      </c>
      <c r="C23" s="1" t="s">
        <v>98</v>
      </c>
      <c r="D23">
        <v>54</v>
      </c>
      <c r="E23" s="1" t="s">
        <v>38</v>
      </c>
      <c r="F23" s="1" t="s">
        <v>99</v>
      </c>
      <c r="G23" s="1" t="s">
        <v>20</v>
      </c>
      <c r="H23" s="1" t="s">
        <v>100</v>
      </c>
      <c r="I23">
        <v>5</v>
      </c>
      <c r="J23">
        <v>453.04</v>
      </c>
      <c r="K23">
        <v>0</v>
      </c>
      <c r="L23">
        <v>2265.1999999999998</v>
      </c>
      <c r="M23" s="1" t="s">
        <v>80</v>
      </c>
      <c r="N23">
        <v>5</v>
      </c>
      <c r="O23">
        <v>9</v>
      </c>
      <c r="P23" s="1" t="s">
        <v>29</v>
      </c>
    </row>
    <row r="24" spans="1:16" x14ac:dyDescent="0.3">
      <c r="A24" s="1" t="s">
        <v>101</v>
      </c>
      <c r="B24">
        <v>46128</v>
      </c>
      <c r="C24" s="1" t="s">
        <v>102</v>
      </c>
      <c r="E24" s="1" t="s">
        <v>38</v>
      </c>
      <c r="F24" s="1" t="s">
        <v>51</v>
      </c>
      <c r="G24" s="1" t="s">
        <v>72</v>
      </c>
      <c r="H24" s="1" t="s">
        <v>103</v>
      </c>
      <c r="I24">
        <v>3</v>
      </c>
      <c r="J24">
        <v>3951.54</v>
      </c>
      <c r="K24">
        <v>25</v>
      </c>
      <c r="L24">
        <v>8890.9699999999993</v>
      </c>
      <c r="M24" s="1" t="s">
        <v>62</v>
      </c>
      <c r="N24">
        <v>1</v>
      </c>
      <c r="O24">
        <v>8</v>
      </c>
      <c r="P24" s="1" t="s">
        <v>29</v>
      </c>
    </row>
    <row r="25" spans="1:16" x14ac:dyDescent="0.3">
      <c r="A25" s="1" t="s">
        <v>104</v>
      </c>
      <c r="B25">
        <v>46075</v>
      </c>
      <c r="C25" s="1" t="s">
        <v>105</v>
      </c>
      <c r="D25">
        <v>31</v>
      </c>
      <c r="E25" s="1" t="s">
        <v>18</v>
      </c>
      <c r="F25" s="1" t="s">
        <v>90</v>
      </c>
      <c r="G25" s="1" t="s">
        <v>40</v>
      </c>
      <c r="H25" s="1" t="s">
        <v>106</v>
      </c>
      <c r="I25">
        <v>2</v>
      </c>
      <c r="J25">
        <v>7940.71</v>
      </c>
      <c r="K25">
        <v>0</v>
      </c>
      <c r="L25">
        <v>15881.42</v>
      </c>
      <c r="M25" s="1" t="s">
        <v>48</v>
      </c>
      <c r="N25">
        <v>3</v>
      </c>
      <c r="O25">
        <v>5</v>
      </c>
      <c r="P25" s="1" t="s">
        <v>29</v>
      </c>
    </row>
    <row r="26" spans="1:16" x14ac:dyDescent="0.3">
      <c r="A26" s="1" t="s">
        <v>107</v>
      </c>
      <c r="B26">
        <v>46178</v>
      </c>
      <c r="C26" s="1" t="s">
        <v>108</v>
      </c>
      <c r="D26">
        <v>53</v>
      </c>
      <c r="E26" s="1" t="s">
        <v>18</v>
      </c>
      <c r="F26" s="1" t="s">
        <v>19</v>
      </c>
      <c r="G26" s="1" t="s">
        <v>33</v>
      </c>
      <c r="H26" s="1" t="s">
        <v>43</v>
      </c>
      <c r="I26">
        <v>2</v>
      </c>
      <c r="J26">
        <v>2336.2199999999998</v>
      </c>
      <c r="K26">
        <v>0</v>
      </c>
      <c r="L26">
        <v>4672.4399999999996</v>
      </c>
      <c r="M26" s="1" t="s">
        <v>109</v>
      </c>
      <c r="N26">
        <v>2</v>
      </c>
      <c r="O26">
        <v>5</v>
      </c>
      <c r="P26" s="1" t="s">
        <v>29</v>
      </c>
    </row>
    <row r="27" spans="1:16" x14ac:dyDescent="0.3">
      <c r="A27" s="1" t="s">
        <v>110</v>
      </c>
      <c r="B27">
        <v>46199</v>
      </c>
      <c r="C27" s="1" t="s">
        <v>111</v>
      </c>
      <c r="D27">
        <v>58</v>
      </c>
      <c r="E27" s="1" t="s">
        <v>18</v>
      </c>
      <c r="F27" s="1" t="s">
        <v>26</v>
      </c>
      <c r="G27" s="1" t="s">
        <v>33</v>
      </c>
      <c r="H27" s="1" t="s">
        <v>112</v>
      </c>
      <c r="I27">
        <v>4</v>
      </c>
      <c r="J27">
        <v>2224.4</v>
      </c>
      <c r="K27">
        <v>25</v>
      </c>
      <c r="L27">
        <v>6673.2</v>
      </c>
      <c r="M27" s="1" t="s">
        <v>62</v>
      </c>
      <c r="N27">
        <v>1</v>
      </c>
      <c r="O27">
        <v>7</v>
      </c>
      <c r="P27" s="1" t="s">
        <v>29</v>
      </c>
    </row>
    <row r="28" spans="1:16" x14ac:dyDescent="0.3">
      <c r="A28" s="1" t="s">
        <v>113</v>
      </c>
      <c r="B28">
        <v>46025</v>
      </c>
      <c r="C28" s="1" t="s">
        <v>114</v>
      </c>
      <c r="D28">
        <v>58</v>
      </c>
      <c r="E28" s="1" t="s">
        <v>38</v>
      </c>
      <c r="F28" s="1" t="s">
        <v>51</v>
      </c>
      <c r="G28" s="1" t="s">
        <v>33</v>
      </c>
      <c r="H28" s="1" t="s">
        <v>115</v>
      </c>
      <c r="I28">
        <v>4</v>
      </c>
      <c r="J28">
        <v>4743.08</v>
      </c>
      <c r="K28">
        <v>10</v>
      </c>
      <c r="L28">
        <v>17075.09</v>
      </c>
      <c r="M28" s="1" t="s">
        <v>22</v>
      </c>
      <c r="N28">
        <v>1</v>
      </c>
      <c r="O28">
        <v>2</v>
      </c>
      <c r="P28" s="1" t="s">
        <v>23</v>
      </c>
    </row>
    <row r="29" spans="1:16" x14ac:dyDescent="0.3">
      <c r="A29" s="1" t="s">
        <v>116</v>
      </c>
      <c r="B29">
        <v>46100</v>
      </c>
      <c r="C29" s="1" t="s">
        <v>108</v>
      </c>
      <c r="D29">
        <v>55</v>
      </c>
      <c r="E29" s="1" t="s">
        <v>68</v>
      </c>
      <c r="F29" s="1" t="s">
        <v>19</v>
      </c>
      <c r="G29" s="1" t="s">
        <v>40</v>
      </c>
      <c r="H29" s="1" t="s">
        <v>117</v>
      </c>
      <c r="I29">
        <v>4</v>
      </c>
      <c r="J29">
        <v>1187.99</v>
      </c>
      <c r="K29">
        <v>5</v>
      </c>
      <c r="L29">
        <v>4514.3599999999997</v>
      </c>
      <c r="M29" s="1" t="s">
        <v>35</v>
      </c>
      <c r="N29">
        <v>5</v>
      </c>
      <c r="O29">
        <v>1</v>
      </c>
      <c r="P29" s="1" t="s">
        <v>29</v>
      </c>
    </row>
    <row r="30" spans="1:16" x14ac:dyDescent="0.3">
      <c r="A30" s="1" t="s">
        <v>118</v>
      </c>
      <c r="B30">
        <v>46151</v>
      </c>
      <c r="C30" s="1" t="s">
        <v>119</v>
      </c>
      <c r="D30">
        <v>53</v>
      </c>
      <c r="E30" s="1" t="s">
        <v>68</v>
      </c>
      <c r="F30" s="1" t="s">
        <v>90</v>
      </c>
      <c r="G30" s="1" t="s">
        <v>72</v>
      </c>
      <c r="H30" s="1" t="s">
        <v>73</v>
      </c>
      <c r="I30">
        <v>2</v>
      </c>
      <c r="K30">
        <v>0</v>
      </c>
      <c r="M30" s="1" t="s">
        <v>48</v>
      </c>
      <c r="N30">
        <v>5</v>
      </c>
      <c r="O30">
        <v>3</v>
      </c>
      <c r="P30" s="1" t="s">
        <v>29</v>
      </c>
    </row>
    <row r="31" spans="1:16" x14ac:dyDescent="0.3">
      <c r="A31" s="1" t="s">
        <v>120</v>
      </c>
      <c r="B31">
        <v>46115</v>
      </c>
      <c r="C31" s="1" t="s">
        <v>121</v>
      </c>
      <c r="D31">
        <v>60</v>
      </c>
      <c r="E31" s="1" t="s">
        <v>68</v>
      </c>
      <c r="F31" s="1" t="s">
        <v>51</v>
      </c>
      <c r="G31" s="1" t="s">
        <v>46</v>
      </c>
      <c r="H31" s="1" t="s">
        <v>122</v>
      </c>
      <c r="I31">
        <v>3</v>
      </c>
      <c r="J31">
        <v>1454.08</v>
      </c>
      <c r="K31">
        <v>20</v>
      </c>
      <c r="L31">
        <v>3489.79</v>
      </c>
      <c r="M31" s="1" t="s">
        <v>62</v>
      </c>
      <c r="N31">
        <v>4</v>
      </c>
      <c r="O31">
        <v>1</v>
      </c>
      <c r="P31" s="1" t="s">
        <v>29</v>
      </c>
    </row>
    <row r="32" spans="1:16" x14ac:dyDescent="0.3">
      <c r="A32" s="1" t="s">
        <v>123</v>
      </c>
      <c r="B32">
        <v>46126</v>
      </c>
      <c r="C32" s="1" t="s">
        <v>25</v>
      </c>
      <c r="D32">
        <v>37</v>
      </c>
      <c r="E32" s="1" t="s">
        <v>68</v>
      </c>
      <c r="F32" s="1" t="s">
        <v>55</v>
      </c>
      <c r="G32" s="1" t="s">
        <v>20</v>
      </c>
      <c r="H32" s="1" t="s">
        <v>21</v>
      </c>
      <c r="I32">
        <v>1</v>
      </c>
      <c r="J32">
        <v>5651.08</v>
      </c>
      <c r="K32">
        <v>10</v>
      </c>
      <c r="L32">
        <v>5085.97</v>
      </c>
      <c r="M32" s="1" t="s">
        <v>35</v>
      </c>
      <c r="N32">
        <v>3</v>
      </c>
      <c r="O32">
        <v>2</v>
      </c>
      <c r="P32" s="1" t="s">
        <v>29</v>
      </c>
    </row>
    <row r="33" spans="1:16" x14ac:dyDescent="0.3">
      <c r="A33" s="1" t="s">
        <v>124</v>
      </c>
      <c r="B33">
        <v>46203</v>
      </c>
      <c r="C33" s="1" t="s">
        <v>125</v>
      </c>
      <c r="D33">
        <v>52</v>
      </c>
      <c r="E33" s="1"/>
      <c r="F33" s="1" t="s">
        <v>99</v>
      </c>
      <c r="G33" s="1" t="s">
        <v>33</v>
      </c>
      <c r="H33" s="1" t="s">
        <v>43</v>
      </c>
      <c r="I33">
        <v>1</v>
      </c>
      <c r="J33">
        <v>7469.58</v>
      </c>
      <c r="K33">
        <v>5</v>
      </c>
      <c r="L33">
        <v>7096.1</v>
      </c>
      <c r="M33" s="1" t="s">
        <v>48</v>
      </c>
      <c r="N33">
        <v>4</v>
      </c>
      <c r="O33">
        <v>5</v>
      </c>
      <c r="P33" s="1" t="s">
        <v>23</v>
      </c>
    </row>
    <row r="34" spans="1:16" x14ac:dyDescent="0.3">
      <c r="A34" s="1" t="s">
        <v>126</v>
      </c>
      <c r="B34">
        <v>46246</v>
      </c>
      <c r="C34" s="1" t="s">
        <v>60</v>
      </c>
      <c r="D34">
        <v>38</v>
      </c>
      <c r="E34" s="1" t="s">
        <v>18</v>
      </c>
      <c r="F34" s="1" t="s">
        <v>51</v>
      </c>
      <c r="G34" s="1" t="s">
        <v>72</v>
      </c>
      <c r="H34" s="1" t="s">
        <v>73</v>
      </c>
      <c r="I34">
        <v>5</v>
      </c>
      <c r="J34">
        <v>1089.1099999999999</v>
      </c>
      <c r="K34">
        <v>15</v>
      </c>
      <c r="L34">
        <v>4628.72</v>
      </c>
      <c r="M34" s="1" t="s">
        <v>48</v>
      </c>
      <c r="N34">
        <v>3</v>
      </c>
      <c r="O34">
        <v>1</v>
      </c>
      <c r="P34" s="1" t="s">
        <v>29</v>
      </c>
    </row>
    <row r="35" spans="1:16" x14ac:dyDescent="0.3">
      <c r="A35" s="1" t="s">
        <v>127</v>
      </c>
      <c r="B35">
        <v>46124</v>
      </c>
      <c r="C35" s="1" t="s">
        <v>77</v>
      </c>
      <c r="D35">
        <v>22</v>
      </c>
      <c r="E35" s="1" t="s">
        <v>68</v>
      </c>
      <c r="F35" s="1" t="s">
        <v>51</v>
      </c>
      <c r="G35" s="1" t="s">
        <v>46</v>
      </c>
      <c r="H35" s="1" t="s">
        <v>65</v>
      </c>
      <c r="I35">
        <v>5</v>
      </c>
      <c r="J35">
        <v>2750.61</v>
      </c>
      <c r="K35">
        <v>25</v>
      </c>
      <c r="L35">
        <v>10314.790000000001</v>
      </c>
      <c r="M35" s="1" t="s">
        <v>62</v>
      </c>
      <c r="N35">
        <v>5</v>
      </c>
      <c r="O35">
        <v>5</v>
      </c>
      <c r="P35" s="1" t="s">
        <v>29</v>
      </c>
    </row>
    <row r="36" spans="1:16" x14ac:dyDescent="0.3">
      <c r="A36" s="1" t="s">
        <v>128</v>
      </c>
      <c r="B36">
        <v>46233</v>
      </c>
      <c r="C36" s="1" t="s">
        <v>129</v>
      </c>
      <c r="D36">
        <v>62</v>
      </c>
      <c r="E36" s="1" t="s">
        <v>68</v>
      </c>
      <c r="F36" s="1" t="s">
        <v>51</v>
      </c>
      <c r="G36" s="1" t="s">
        <v>33</v>
      </c>
      <c r="H36" s="1" t="s">
        <v>112</v>
      </c>
      <c r="I36">
        <v>2</v>
      </c>
      <c r="J36">
        <v>1727.62</v>
      </c>
      <c r="K36">
        <v>20</v>
      </c>
      <c r="L36">
        <v>2764.19</v>
      </c>
      <c r="M36" s="1" t="s">
        <v>80</v>
      </c>
      <c r="N36">
        <v>5</v>
      </c>
      <c r="O36">
        <v>3</v>
      </c>
      <c r="P36" s="1"/>
    </row>
    <row r="37" spans="1:16" x14ac:dyDescent="0.3">
      <c r="A37" s="1" t="s">
        <v>130</v>
      </c>
      <c r="B37">
        <v>46231</v>
      </c>
      <c r="C37" s="1" t="s">
        <v>131</v>
      </c>
      <c r="D37">
        <v>36</v>
      </c>
      <c r="E37" s="1" t="s">
        <v>68</v>
      </c>
      <c r="F37" s="1" t="s">
        <v>19</v>
      </c>
      <c r="G37" s="1" t="s">
        <v>20</v>
      </c>
      <c r="H37" s="1" t="s">
        <v>132</v>
      </c>
      <c r="I37">
        <v>5</v>
      </c>
      <c r="J37">
        <v>5203.82</v>
      </c>
      <c r="K37">
        <v>5</v>
      </c>
      <c r="L37">
        <v>24718.14</v>
      </c>
      <c r="M37" s="1" t="s">
        <v>80</v>
      </c>
      <c r="N37">
        <v>4</v>
      </c>
      <c r="O37">
        <v>8</v>
      </c>
      <c r="P37" s="1" t="s">
        <v>29</v>
      </c>
    </row>
    <row r="38" spans="1:16" x14ac:dyDescent="0.3">
      <c r="A38" s="1" t="s">
        <v>133</v>
      </c>
      <c r="B38">
        <v>46266</v>
      </c>
      <c r="C38" s="1" t="s">
        <v>134</v>
      </c>
      <c r="D38">
        <v>23</v>
      </c>
      <c r="E38" s="1" t="s">
        <v>18</v>
      </c>
      <c r="F38" s="1" t="s">
        <v>32</v>
      </c>
      <c r="G38" s="1" t="s">
        <v>33</v>
      </c>
      <c r="H38" s="1" t="s">
        <v>112</v>
      </c>
      <c r="I38">
        <v>5</v>
      </c>
      <c r="J38">
        <v>2928.88</v>
      </c>
      <c r="K38">
        <v>25</v>
      </c>
      <c r="L38">
        <v>10983.3</v>
      </c>
      <c r="M38" s="1" t="s">
        <v>48</v>
      </c>
      <c r="N38">
        <v>5</v>
      </c>
      <c r="O38">
        <v>5</v>
      </c>
      <c r="P38" s="1" t="s">
        <v>29</v>
      </c>
    </row>
    <row r="39" spans="1:16" x14ac:dyDescent="0.3">
      <c r="A39" s="1" t="s">
        <v>135</v>
      </c>
      <c r="B39">
        <v>46099</v>
      </c>
      <c r="C39" s="1" t="s">
        <v>136</v>
      </c>
      <c r="D39">
        <v>33</v>
      </c>
      <c r="E39" s="1" t="s">
        <v>38</v>
      </c>
      <c r="F39" s="1" t="s">
        <v>19</v>
      </c>
      <c r="G39" s="1" t="s">
        <v>72</v>
      </c>
      <c r="H39" s="1" t="s">
        <v>73</v>
      </c>
      <c r="I39">
        <v>1</v>
      </c>
      <c r="J39">
        <v>3936.39</v>
      </c>
      <c r="K39" t="s">
        <v>84</v>
      </c>
      <c r="M39" s="1" t="s">
        <v>22</v>
      </c>
      <c r="N39">
        <v>2</v>
      </c>
      <c r="O39">
        <v>7</v>
      </c>
      <c r="P39" s="1" t="s">
        <v>29</v>
      </c>
    </row>
    <row r="40" spans="1:16" x14ac:dyDescent="0.3">
      <c r="A40" s="1" t="s">
        <v>137</v>
      </c>
      <c r="B40">
        <v>46099</v>
      </c>
      <c r="C40" s="1" t="s">
        <v>138</v>
      </c>
      <c r="D40">
        <v>45</v>
      </c>
      <c r="E40" s="1" t="s">
        <v>38</v>
      </c>
      <c r="F40" s="1" t="s">
        <v>19</v>
      </c>
      <c r="G40" s="1" t="s">
        <v>20</v>
      </c>
      <c r="H40" s="1" t="s">
        <v>21</v>
      </c>
      <c r="I40">
        <v>5</v>
      </c>
      <c r="J40">
        <v>4012.93</v>
      </c>
      <c r="K40">
        <v>15</v>
      </c>
      <c r="L40">
        <v>17054.95</v>
      </c>
      <c r="M40" s="1" t="s">
        <v>48</v>
      </c>
      <c r="N40">
        <v>5</v>
      </c>
      <c r="O40">
        <v>2</v>
      </c>
      <c r="P40" s="1" t="s">
        <v>29</v>
      </c>
    </row>
    <row r="41" spans="1:16" x14ac:dyDescent="0.3">
      <c r="A41" s="1" t="s">
        <v>139</v>
      </c>
      <c r="B41">
        <v>46261</v>
      </c>
      <c r="C41" s="1" t="s">
        <v>70</v>
      </c>
      <c r="D41">
        <v>57</v>
      </c>
      <c r="E41" s="1" t="s">
        <v>68</v>
      </c>
      <c r="F41" s="1" t="s">
        <v>51</v>
      </c>
      <c r="G41" s="1" t="s">
        <v>46</v>
      </c>
      <c r="H41" s="1" t="s">
        <v>61</v>
      </c>
      <c r="I41">
        <v>4</v>
      </c>
      <c r="J41">
        <v>7080.17</v>
      </c>
      <c r="K41">
        <v>15</v>
      </c>
      <c r="L41">
        <v>24072.58</v>
      </c>
      <c r="M41" s="1" t="s">
        <v>80</v>
      </c>
      <c r="N41">
        <v>2</v>
      </c>
      <c r="O41">
        <v>8</v>
      </c>
      <c r="P41" s="1" t="s">
        <v>29</v>
      </c>
    </row>
    <row r="42" spans="1:16" x14ac:dyDescent="0.3">
      <c r="A42" s="1" t="s">
        <v>140</v>
      </c>
      <c r="B42">
        <v>46150</v>
      </c>
      <c r="C42" s="1" t="s">
        <v>141</v>
      </c>
      <c r="D42">
        <v>49</v>
      </c>
      <c r="E42" s="1" t="s">
        <v>18</v>
      </c>
      <c r="F42" s="1" t="s">
        <v>71</v>
      </c>
      <c r="G42" s="1" t="s">
        <v>46</v>
      </c>
      <c r="H42" s="1" t="s">
        <v>122</v>
      </c>
      <c r="I42">
        <v>3</v>
      </c>
      <c r="J42">
        <v>3806.13</v>
      </c>
      <c r="K42">
        <v>20</v>
      </c>
      <c r="L42">
        <v>9134.7099999999991</v>
      </c>
      <c r="M42" s="1" t="s">
        <v>35</v>
      </c>
      <c r="N42">
        <v>2</v>
      </c>
      <c r="O42">
        <v>5</v>
      </c>
      <c r="P42" s="1" t="s">
        <v>29</v>
      </c>
    </row>
    <row r="43" spans="1:16" x14ac:dyDescent="0.3">
      <c r="A43" s="1" t="s">
        <v>142</v>
      </c>
      <c r="B43">
        <v>46065</v>
      </c>
      <c r="C43" s="1" t="s">
        <v>108</v>
      </c>
      <c r="D43">
        <v>32</v>
      </c>
      <c r="E43" s="1" t="s">
        <v>38</v>
      </c>
      <c r="F43" s="1" t="s">
        <v>32</v>
      </c>
      <c r="G43" s="1" t="s">
        <v>72</v>
      </c>
      <c r="H43" s="1" t="s">
        <v>103</v>
      </c>
      <c r="I43">
        <v>2</v>
      </c>
      <c r="J43">
        <v>658.24</v>
      </c>
      <c r="K43">
        <v>10</v>
      </c>
      <c r="L43">
        <v>1184.83</v>
      </c>
      <c r="M43" s="1" t="s">
        <v>35</v>
      </c>
      <c r="N43">
        <v>4</v>
      </c>
      <c r="O43">
        <v>8</v>
      </c>
      <c r="P43" s="1" t="s">
        <v>29</v>
      </c>
    </row>
    <row r="44" spans="1:16" x14ac:dyDescent="0.3">
      <c r="A44" s="1" t="s">
        <v>143</v>
      </c>
      <c r="B44">
        <v>46239</v>
      </c>
      <c r="C44" s="1" t="s">
        <v>105</v>
      </c>
      <c r="D44">
        <v>62</v>
      </c>
      <c r="E44" s="1" t="s">
        <v>18</v>
      </c>
      <c r="F44" s="1" t="s">
        <v>99</v>
      </c>
      <c r="G44" s="1" t="s">
        <v>27</v>
      </c>
      <c r="H44" s="1" t="s">
        <v>28</v>
      </c>
      <c r="I44">
        <v>4</v>
      </c>
      <c r="J44">
        <v>4117.09</v>
      </c>
      <c r="K44">
        <v>5</v>
      </c>
      <c r="L44">
        <v>15644.94</v>
      </c>
      <c r="M44" s="1" t="s">
        <v>35</v>
      </c>
      <c r="N44">
        <v>5</v>
      </c>
      <c r="O44">
        <v>7</v>
      </c>
      <c r="P44" s="1" t="s">
        <v>29</v>
      </c>
    </row>
    <row r="45" spans="1:16" x14ac:dyDescent="0.3">
      <c r="A45" s="1" t="s">
        <v>144</v>
      </c>
      <c r="B45">
        <v>46238</v>
      </c>
      <c r="C45" s="1" t="s">
        <v>145</v>
      </c>
      <c r="D45">
        <v>32</v>
      </c>
      <c r="E45" s="1" t="s">
        <v>68</v>
      </c>
      <c r="F45" s="1" t="s">
        <v>26</v>
      </c>
      <c r="G45" s="1" t="s">
        <v>33</v>
      </c>
      <c r="H45" s="1" t="s">
        <v>87</v>
      </c>
      <c r="I45">
        <v>4</v>
      </c>
      <c r="J45">
        <v>363.23</v>
      </c>
      <c r="K45">
        <v>5</v>
      </c>
      <c r="L45">
        <v>1380.27</v>
      </c>
      <c r="M45" s="1" t="s">
        <v>80</v>
      </c>
      <c r="N45">
        <v>5</v>
      </c>
      <c r="P45" s="1" t="s">
        <v>29</v>
      </c>
    </row>
    <row r="46" spans="1:16" x14ac:dyDescent="0.3">
      <c r="A46" s="1" t="s">
        <v>146</v>
      </c>
      <c r="B46">
        <v>46089</v>
      </c>
      <c r="C46" s="1" t="s">
        <v>147</v>
      </c>
      <c r="D46">
        <v>55</v>
      </c>
      <c r="E46" s="1" t="s">
        <v>68</v>
      </c>
      <c r="F46" s="1" t="s">
        <v>19</v>
      </c>
      <c r="G46" s="1" t="s">
        <v>40</v>
      </c>
      <c r="H46" s="1" t="s">
        <v>41</v>
      </c>
      <c r="I46">
        <v>1</v>
      </c>
      <c r="J46">
        <v>5506.24</v>
      </c>
      <c r="K46">
        <v>0</v>
      </c>
      <c r="L46">
        <v>5506.24</v>
      </c>
      <c r="M46" s="1" t="s">
        <v>80</v>
      </c>
      <c r="N46">
        <v>2</v>
      </c>
      <c r="O46">
        <v>1</v>
      </c>
      <c r="P46" s="1" t="s">
        <v>29</v>
      </c>
    </row>
    <row r="47" spans="1:16" x14ac:dyDescent="0.3">
      <c r="A47" s="1" t="s">
        <v>148</v>
      </c>
      <c r="B47">
        <v>46132</v>
      </c>
      <c r="C47" s="1" t="s">
        <v>149</v>
      </c>
      <c r="D47">
        <v>39</v>
      </c>
      <c r="E47" s="1" t="s">
        <v>68</v>
      </c>
      <c r="F47" s="1" t="s">
        <v>55</v>
      </c>
      <c r="G47" s="1"/>
      <c r="H47" s="1" t="s">
        <v>150</v>
      </c>
      <c r="I47">
        <v>4</v>
      </c>
      <c r="J47">
        <v>2234.04</v>
      </c>
      <c r="K47">
        <v>0</v>
      </c>
      <c r="L47">
        <v>8936.16</v>
      </c>
      <c r="M47" s="1" t="s">
        <v>80</v>
      </c>
      <c r="N47">
        <v>1</v>
      </c>
      <c r="O47">
        <v>9</v>
      </c>
      <c r="P47" s="1" t="s">
        <v>23</v>
      </c>
    </row>
    <row r="48" spans="1:16" x14ac:dyDescent="0.3">
      <c r="A48" s="1" t="s">
        <v>151</v>
      </c>
      <c r="B48">
        <v>46138</v>
      </c>
      <c r="C48" s="1" t="s">
        <v>152</v>
      </c>
      <c r="D48">
        <v>20</v>
      </c>
      <c r="E48" s="1" t="s">
        <v>18</v>
      </c>
      <c r="F48" s="1" t="s">
        <v>90</v>
      </c>
      <c r="G48" s="1" t="s">
        <v>27</v>
      </c>
      <c r="H48" s="1" t="s">
        <v>58</v>
      </c>
      <c r="I48">
        <v>2</v>
      </c>
      <c r="J48">
        <v>7152.74</v>
      </c>
      <c r="K48">
        <v>15</v>
      </c>
      <c r="L48">
        <v>12159.66</v>
      </c>
      <c r="M48" s="1" t="s">
        <v>48</v>
      </c>
      <c r="N48">
        <v>2</v>
      </c>
      <c r="O48">
        <v>3</v>
      </c>
      <c r="P48" s="1" t="s">
        <v>29</v>
      </c>
    </row>
    <row r="49" spans="1:16" x14ac:dyDescent="0.3">
      <c r="A49" s="1" t="s">
        <v>153</v>
      </c>
      <c r="B49">
        <v>46135</v>
      </c>
      <c r="C49" s="1" t="s">
        <v>154</v>
      </c>
      <c r="D49">
        <v>34</v>
      </c>
      <c r="E49" s="1" t="s">
        <v>18</v>
      </c>
      <c r="F49" s="1" t="s">
        <v>55</v>
      </c>
      <c r="G49" s="1" t="s">
        <v>33</v>
      </c>
      <c r="H49" s="1" t="s">
        <v>115</v>
      </c>
      <c r="I49">
        <v>5</v>
      </c>
      <c r="J49">
        <v>5208.7299999999996</v>
      </c>
      <c r="K49">
        <v>20</v>
      </c>
      <c r="L49">
        <v>20834.919999999998</v>
      </c>
      <c r="M49" s="1" t="s">
        <v>62</v>
      </c>
      <c r="N49">
        <v>5</v>
      </c>
      <c r="O49">
        <v>3</v>
      </c>
      <c r="P49" s="1" t="s">
        <v>29</v>
      </c>
    </row>
    <row r="50" spans="1:16" x14ac:dyDescent="0.3">
      <c r="A50" s="1" t="s">
        <v>155</v>
      </c>
      <c r="B50">
        <v>46037</v>
      </c>
      <c r="C50" s="1" t="s">
        <v>125</v>
      </c>
      <c r="E50" s="1" t="s">
        <v>18</v>
      </c>
      <c r="F50" s="1" t="s">
        <v>39</v>
      </c>
      <c r="G50" s="1" t="s">
        <v>72</v>
      </c>
      <c r="H50" s="1" t="s">
        <v>91</v>
      </c>
      <c r="I50">
        <v>2</v>
      </c>
      <c r="J50">
        <v>756.85</v>
      </c>
      <c r="K50">
        <v>20</v>
      </c>
      <c r="L50">
        <v>1210.96</v>
      </c>
      <c r="M50" s="1" t="s">
        <v>48</v>
      </c>
      <c r="N50">
        <v>1</v>
      </c>
      <c r="O50">
        <v>5</v>
      </c>
      <c r="P50" s="1" t="s">
        <v>29</v>
      </c>
    </row>
    <row r="51" spans="1:16" x14ac:dyDescent="0.3">
      <c r="A51" s="1" t="s">
        <v>156</v>
      </c>
      <c r="B51">
        <v>46085</v>
      </c>
      <c r="C51" s="1" t="s">
        <v>154</v>
      </c>
      <c r="D51">
        <v>52</v>
      </c>
      <c r="E51" s="1" t="s">
        <v>68</v>
      </c>
      <c r="F51" s="1" t="s">
        <v>19</v>
      </c>
      <c r="G51" s="1" t="s">
        <v>72</v>
      </c>
      <c r="H51" s="1" t="s">
        <v>150</v>
      </c>
      <c r="I51">
        <v>1</v>
      </c>
      <c r="J51">
        <v>4359.95</v>
      </c>
      <c r="K51">
        <v>5</v>
      </c>
      <c r="L51">
        <v>4141.95</v>
      </c>
      <c r="M51" s="1" t="s">
        <v>62</v>
      </c>
      <c r="N51">
        <v>5</v>
      </c>
      <c r="O51">
        <v>7</v>
      </c>
      <c r="P51" s="1" t="s">
        <v>29</v>
      </c>
    </row>
    <row r="52" spans="1:16" x14ac:dyDescent="0.3">
      <c r="A52" s="1" t="s">
        <v>157</v>
      </c>
      <c r="B52">
        <v>46245</v>
      </c>
      <c r="C52" s="1" t="s">
        <v>57</v>
      </c>
      <c r="D52">
        <v>47</v>
      </c>
      <c r="E52" s="1" t="s">
        <v>18</v>
      </c>
      <c r="F52" s="1" t="s">
        <v>51</v>
      </c>
      <c r="G52" s="1" t="s">
        <v>46</v>
      </c>
      <c r="H52" s="1" t="s">
        <v>122</v>
      </c>
      <c r="I52">
        <v>4</v>
      </c>
      <c r="J52">
        <v>1596.03</v>
      </c>
      <c r="K52">
        <v>15</v>
      </c>
      <c r="L52">
        <v>5426.5</v>
      </c>
      <c r="M52" s="1" t="s">
        <v>35</v>
      </c>
      <c r="N52">
        <v>4</v>
      </c>
      <c r="O52">
        <v>9</v>
      </c>
      <c r="P52" s="1" t="s">
        <v>29</v>
      </c>
    </row>
    <row r="53" spans="1:16" x14ac:dyDescent="0.3">
      <c r="A53" s="1" t="s">
        <v>158</v>
      </c>
      <c r="B53">
        <v>46247</v>
      </c>
      <c r="C53" s="1" t="s">
        <v>50</v>
      </c>
      <c r="D53">
        <v>33</v>
      </c>
      <c r="E53" s="1" t="s">
        <v>68</v>
      </c>
      <c r="F53" s="1" t="s">
        <v>39</v>
      </c>
      <c r="G53" s="1" t="s">
        <v>27</v>
      </c>
      <c r="H53" s="1" t="s">
        <v>52</v>
      </c>
      <c r="I53">
        <v>4</v>
      </c>
      <c r="J53">
        <v>2163.58</v>
      </c>
      <c r="K53">
        <v>10</v>
      </c>
      <c r="L53">
        <v>7788.89</v>
      </c>
      <c r="M53" s="1" t="s">
        <v>22</v>
      </c>
      <c r="N53">
        <v>4</v>
      </c>
      <c r="O53">
        <v>7</v>
      </c>
      <c r="P53" s="1" t="s">
        <v>29</v>
      </c>
    </row>
    <row r="54" spans="1:16" x14ac:dyDescent="0.3">
      <c r="A54" s="1" t="s">
        <v>159</v>
      </c>
      <c r="B54">
        <v>46190</v>
      </c>
      <c r="C54" s="1" t="s">
        <v>82</v>
      </c>
      <c r="D54">
        <v>31</v>
      </c>
      <c r="E54" s="1" t="s">
        <v>68</v>
      </c>
      <c r="F54" s="1" t="s">
        <v>32</v>
      </c>
      <c r="G54" s="1" t="s">
        <v>33</v>
      </c>
      <c r="H54" s="1" t="s">
        <v>34</v>
      </c>
      <c r="I54">
        <v>3</v>
      </c>
      <c r="J54">
        <v>2463.54</v>
      </c>
      <c r="K54">
        <v>15</v>
      </c>
      <c r="L54">
        <v>6282.03</v>
      </c>
      <c r="M54" s="1" t="s">
        <v>109</v>
      </c>
      <c r="N54">
        <v>4</v>
      </c>
      <c r="O54">
        <v>1</v>
      </c>
      <c r="P54" s="1" t="s">
        <v>29</v>
      </c>
    </row>
    <row r="55" spans="1:16" x14ac:dyDescent="0.3">
      <c r="A55" s="1" t="s">
        <v>160</v>
      </c>
      <c r="B55">
        <v>46067</v>
      </c>
      <c r="C55" s="1" t="s">
        <v>121</v>
      </c>
      <c r="D55">
        <v>44</v>
      </c>
      <c r="E55" s="1" t="s">
        <v>18</v>
      </c>
      <c r="F55" s="1" t="s">
        <v>26</v>
      </c>
      <c r="G55" s="1" t="s">
        <v>72</v>
      </c>
      <c r="H55" s="1" t="s">
        <v>73</v>
      </c>
      <c r="I55">
        <v>2</v>
      </c>
      <c r="J55">
        <v>5907.31</v>
      </c>
      <c r="K55">
        <v>20</v>
      </c>
      <c r="L55">
        <v>9451.7000000000007</v>
      </c>
      <c r="M55" s="1" t="s">
        <v>80</v>
      </c>
      <c r="N55">
        <v>4</v>
      </c>
      <c r="O55">
        <v>1</v>
      </c>
      <c r="P55" s="1" t="s">
        <v>23</v>
      </c>
    </row>
    <row r="56" spans="1:16" x14ac:dyDescent="0.3">
      <c r="A56" s="1" t="s">
        <v>161</v>
      </c>
      <c r="B56">
        <v>46231</v>
      </c>
      <c r="C56" s="1" t="s">
        <v>162</v>
      </c>
      <c r="D56">
        <v>60</v>
      </c>
      <c r="E56" s="1" t="s">
        <v>68</v>
      </c>
      <c r="F56" s="1" t="s">
        <v>26</v>
      </c>
      <c r="G56" s="1" t="s">
        <v>40</v>
      </c>
      <c r="H56" s="1" t="s">
        <v>106</v>
      </c>
      <c r="I56">
        <v>4</v>
      </c>
      <c r="J56">
        <v>4758.1000000000004</v>
      </c>
      <c r="K56">
        <v>5</v>
      </c>
      <c r="L56">
        <v>18080.78</v>
      </c>
      <c r="M56" s="1" t="s">
        <v>80</v>
      </c>
      <c r="N56">
        <v>5</v>
      </c>
      <c r="O56">
        <v>9</v>
      </c>
      <c r="P56" s="1" t="s">
        <v>29</v>
      </c>
    </row>
    <row r="57" spans="1:16" x14ac:dyDescent="0.3">
      <c r="A57" s="1" t="s">
        <v>163</v>
      </c>
      <c r="B57">
        <v>46256</v>
      </c>
      <c r="C57" s="1" t="s">
        <v>164</v>
      </c>
      <c r="D57">
        <v>34</v>
      </c>
      <c r="E57" s="1" t="s">
        <v>68</v>
      </c>
      <c r="F57" s="1" t="s">
        <v>39</v>
      </c>
      <c r="G57" s="1" t="s">
        <v>20</v>
      </c>
      <c r="H57" s="1" t="s">
        <v>165</v>
      </c>
      <c r="I57">
        <v>2</v>
      </c>
      <c r="J57">
        <v>2764.29</v>
      </c>
      <c r="K57">
        <v>20</v>
      </c>
      <c r="L57">
        <v>4422.8599999999997</v>
      </c>
      <c r="M57" s="1" t="s">
        <v>22</v>
      </c>
      <c r="N57">
        <v>5</v>
      </c>
      <c r="O57">
        <v>3</v>
      </c>
      <c r="P57" s="1" t="s">
        <v>29</v>
      </c>
    </row>
    <row r="58" spans="1:16" x14ac:dyDescent="0.3">
      <c r="A58" s="1" t="s">
        <v>166</v>
      </c>
      <c r="B58">
        <v>46271</v>
      </c>
      <c r="C58" s="1" t="s">
        <v>129</v>
      </c>
      <c r="D58">
        <v>55</v>
      </c>
      <c r="E58" s="1" t="s">
        <v>18</v>
      </c>
      <c r="F58" s="1" t="s">
        <v>39</v>
      </c>
      <c r="G58" s="1" t="s">
        <v>40</v>
      </c>
      <c r="H58" s="1" t="s">
        <v>96</v>
      </c>
      <c r="I58">
        <v>3</v>
      </c>
      <c r="J58">
        <v>8336.68</v>
      </c>
      <c r="K58">
        <v>25</v>
      </c>
      <c r="L58">
        <v>18757.53</v>
      </c>
      <c r="M58" s="1" t="s">
        <v>48</v>
      </c>
      <c r="N58">
        <v>3</v>
      </c>
      <c r="O58">
        <v>4</v>
      </c>
      <c r="P58" s="1" t="s">
        <v>29</v>
      </c>
    </row>
    <row r="59" spans="1:16" x14ac:dyDescent="0.3">
      <c r="A59" s="1" t="s">
        <v>167</v>
      </c>
      <c r="B59">
        <v>46031</v>
      </c>
      <c r="C59" s="1" t="s">
        <v>168</v>
      </c>
      <c r="D59">
        <v>20</v>
      </c>
      <c r="E59" s="1" t="s">
        <v>68</v>
      </c>
      <c r="F59" s="1" t="s">
        <v>32</v>
      </c>
      <c r="G59" s="1" t="s">
        <v>27</v>
      </c>
      <c r="H59" s="1" t="s">
        <v>28</v>
      </c>
      <c r="I59">
        <v>3</v>
      </c>
      <c r="J59">
        <v>5964.36</v>
      </c>
      <c r="K59">
        <v>0</v>
      </c>
      <c r="L59">
        <v>17893.080000000002</v>
      </c>
      <c r="M59" s="1" t="s">
        <v>80</v>
      </c>
      <c r="N59">
        <v>1</v>
      </c>
      <c r="O59">
        <v>1</v>
      </c>
      <c r="P59" s="1" t="s">
        <v>29</v>
      </c>
    </row>
    <row r="60" spans="1:16" x14ac:dyDescent="0.3">
      <c r="A60" s="1" t="s">
        <v>169</v>
      </c>
      <c r="B60">
        <v>46269</v>
      </c>
      <c r="C60" s="1" t="s">
        <v>170</v>
      </c>
      <c r="D60">
        <v>29</v>
      </c>
      <c r="E60" s="1" t="s">
        <v>68</v>
      </c>
      <c r="F60" s="1" t="s">
        <v>55</v>
      </c>
      <c r="G60" s="1" t="s">
        <v>27</v>
      </c>
      <c r="H60" s="1" t="s">
        <v>52</v>
      </c>
      <c r="I60">
        <v>4</v>
      </c>
      <c r="J60">
        <v>1076.05</v>
      </c>
      <c r="K60">
        <v>0</v>
      </c>
      <c r="L60">
        <v>4304.2</v>
      </c>
      <c r="M60" s="1" t="s">
        <v>80</v>
      </c>
      <c r="N60">
        <v>4</v>
      </c>
      <c r="O60">
        <v>2</v>
      </c>
      <c r="P60" s="1" t="s">
        <v>29</v>
      </c>
    </row>
    <row r="61" spans="1:16" x14ac:dyDescent="0.3">
      <c r="A61" s="1" t="s">
        <v>171</v>
      </c>
      <c r="B61">
        <v>46051</v>
      </c>
      <c r="C61" s="1" t="s">
        <v>172</v>
      </c>
      <c r="D61">
        <v>54</v>
      </c>
      <c r="E61" s="1"/>
      <c r="F61" s="1" t="s">
        <v>32</v>
      </c>
      <c r="G61" s="1" t="s">
        <v>33</v>
      </c>
      <c r="H61" s="1" t="s">
        <v>43</v>
      </c>
      <c r="I61">
        <v>2</v>
      </c>
      <c r="J61">
        <v>1112.6199999999999</v>
      </c>
      <c r="K61">
        <v>25</v>
      </c>
      <c r="L61">
        <v>1668.93</v>
      </c>
      <c r="M61" s="1" t="s">
        <v>80</v>
      </c>
      <c r="N61">
        <v>4</v>
      </c>
      <c r="O61">
        <v>4</v>
      </c>
      <c r="P61" s="1" t="s">
        <v>29</v>
      </c>
    </row>
    <row r="62" spans="1:16" x14ac:dyDescent="0.3">
      <c r="A62" s="1" t="s">
        <v>173</v>
      </c>
      <c r="B62">
        <v>46254</v>
      </c>
      <c r="C62" s="1" t="s">
        <v>98</v>
      </c>
      <c r="D62">
        <v>55</v>
      </c>
      <c r="E62" s="1" t="s">
        <v>68</v>
      </c>
      <c r="F62" s="1" t="s">
        <v>55</v>
      </c>
      <c r="G62" s="1" t="s">
        <v>72</v>
      </c>
      <c r="H62" s="1" t="s">
        <v>150</v>
      </c>
      <c r="I62">
        <v>5</v>
      </c>
      <c r="J62">
        <v>5324.21</v>
      </c>
      <c r="K62">
        <v>15</v>
      </c>
      <c r="L62">
        <v>22627.89</v>
      </c>
      <c r="M62" s="1" t="s">
        <v>62</v>
      </c>
      <c r="N62">
        <v>5</v>
      </c>
      <c r="O62">
        <v>4</v>
      </c>
      <c r="P62" s="1" t="s">
        <v>29</v>
      </c>
    </row>
    <row r="63" spans="1:16" x14ac:dyDescent="0.3">
      <c r="A63" s="1" t="s">
        <v>174</v>
      </c>
      <c r="B63">
        <v>46065</v>
      </c>
      <c r="C63" s="1" t="s">
        <v>175</v>
      </c>
      <c r="D63">
        <v>29</v>
      </c>
      <c r="E63" s="1" t="s">
        <v>38</v>
      </c>
      <c r="F63" s="1" t="s">
        <v>32</v>
      </c>
      <c r="G63" s="1" t="s">
        <v>40</v>
      </c>
      <c r="H63" s="1" t="s">
        <v>41</v>
      </c>
      <c r="I63">
        <v>2</v>
      </c>
      <c r="J63">
        <v>142.41999999999999</v>
      </c>
      <c r="K63">
        <v>10</v>
      </c>
      <c r="L63">
        <v>256.36</v>
      </c>
      <c r="M63" s="1" t="s">
        <v>22</v>
      </c>
      <c r="O63">
        <v>5</v>
      </c>
      <c r="P63" s="1" t="s">
        <v>23</v>
      </c>
    </row>
    <row r="64" spans="1:16" x14ac:dyDescent="0.3">
      <c r="A64" s="1" t="s">
        <v>176</v>
      </c>
      <c r="B64">
        <v>46168</v>
      </c>
      <c r="C64" s="1" t="s">
        <v>177</v>
      </c>
      <c r="D64">
        <v>61</v>
      </c>
      <c r="E64" s="1" t="s">
        <v>38</v>
      </c>
      <c r="F64" s="1" t="s">
        <v>55</v>
      </c>
      <c r="G64" s="1" t="s">
        <v>20</v>
      </c>
      <c r="H64" s="1" t="s">
        <v>178</v>
      </c>
      <c r="I64">
        <v>5</v>
      </c>
      <c r="J64">
        <v>5660.71</v>
      </c>
      <c r="K64">
        <v>0</v>
      </c>
      <c r="L64">
        <v>28303.55</v>
      </c>
      <c r="M64" s="1" t="s">
        <v>80</v>
      </c>
      <c r="N64">
        <v>1</v>
      </c>
      <c r="O64">
        <v>9</v>
      </c>
      <c r="P64" s="1" t="s">
        <v>29</v>
      </c>
    </row>
    <row r="65" spans="1:16" x14ac:dyDescent="0.3">
      <c r="A65" s="1" t="s">
        <v>179</v>
      </c>
      <c r="B65">
        <v>46160</v>
      </c>
      <c r="C65" s="1" t="s">
        <v>129</v>
      </c>
      <c r="D65">
        <v>21</v>
      </c>
      <c r="E65" s="1" t="s">
        <v>38</v>
      </c>
      <c r="F65" s="1" t="s">
        <v>32</v>
      </c>
      <c r="G65" s="1" t="s">
        <v>20</v>
      </c>
      <c r="H65" s="1" t="s">
        <v>178</v>
      </c>
      <c r="I65">
        <v>5</v>
      </c>
      <c r="J65">
        <v>6396.27</v>
      </c>
      <c r="K65">
        <v>15</v>
      </c>
      <c r="L65">
        <v>27184.15</v>
      </c>
      <c r="M65" s="1" t="s">
        <v>35</v>
      </c>
      <c r="N65">
        <v>4</v>
      </c>
      <c r="O65">
        <v>2</v>
      </c>
      <c r="P65" s="1" t="s">
        <v>29</v>
      </c>
    </row>
    <row r="66" spans="1:16" x14ac:dyDescent="0.3">
      <c r="A66" s="1" t="s">
        <v>94</v>
      </c>
      <c r="B66">
        <v>46053</v>
      </c>
      <c r="C66" s="1" t="s">
        <v>95</v>
      </c>
      <c r="D66">
        <v>48</v>
      </c>
      <c r="E66" s="1" t="s">
        <v>18</v>
      </c>
      <c r="F66" s="1" t="s">
        <v>19</v>
      </c>
      <c r="G66" s="1" t="s">
        <v>40</v>
      </c>
      <c r="H66" s="1" t="s">
        <v>96</v>
      </c>
      <c r="I66">
        <v>2</v>
      </c>
      <c r="J66">
        <v>596.65</v>
      </c>
      <c r="K66">
        <v>15</v>
      </c>
      <c r="L66">
        <v>1014.3</v>
      </c>
      <c r="M66" s="1" t="s">
        <v>62</v>
      </c>
      <c r="N66">
        <v>5</v>
      </c>
      <c r="P66" s="1" t="s">
        <v>23</v>
      </c>
    </row>
    <row r="67" spans="1:16" x14ac:dyDescent="0.3">
      <c r="A67" s="1" t="s">
        <v>180</v>
      </c>
      <c r="B67">
        <v>46034</v>
      </c>
      <c r="C67" s="1" t="s">
        <v>181</v>
      </c>
      <c r="D67">
        <v>20</v>
      </c>
      <c r="E67" s="1" t="s">
        <v>18</v>
      </c>
      <c r="F67" s="1" t="s">
        <v>39</v>
      </c>
      <c r="G67" s="1" t="s">
        <v>20</v>
      </c>
      <c r="H67" s="1" t="s">
        <v>132</v>
      </c>
      <c r="I67">
        <v>5</v>
      </c>
      <c r="J67">
        <v>5579.65</v>
      </c>
      <c r="K67">
        <v>5</v>
      </c>
      <c r="L67">
        <v>26503.34</v>
      </c>
      <c r="M67" s="1" t="s">
        <v>48</v>
      </c>
      <c r="N67">
        <v>4</v>
      </c>
      <c r="O67">
        <v>7</v>
      </c>
      <c r="P67" s="1" t="s">
        <v>29</v>
      </c>
    </row>
    <row r="68" spans="1:16" x14ac:dyDescent="0.3">
      <c r="A68" s="1" t="s">
        <v>182</v>
      </c>
      <c r="B68">
        <v>46070</v>
      </c>
      <c r="C68" s="1" t="s">
        <v>183</v>
      </c>
      <c r="D68">
        <v>44</v>
      </c>
      <c r="E68" s="1" t="s">
        <v>68</v>
      </c>
      <c r="F68" s="1" t="s">
        <v>55</v>
      </c>
      <c r="G68" s="1" t="s">
        <v>33</v>
      </c>
      <c r="H68" s="1" t="s">
        <v>34</v>
      </c>
      <c r="I68">
        <v>1</v>
      </c>
      <c r="K68">
        <v>5</v>
      </c>
      <c r="M68" s="1" t="s">
        <v>80</v>
      </c>
      <c r="N68">
        <v>5</v>
      </c>
      <c r="O68">
        <v>8</v>
      </c>
      <c r="P68" s="1" t="s">
        <v>29</v>
      </c>
    </row>
    <row r="69" spans="1:16" x14ac:dyDescent="0.3">
      <c r="A69" s="1" t="s">
        <v>184</v>
      </c>
      <c r="B69">
        <v>46042</v>
      </c>
      <c r="C69" s="1" t="s">
        <v>185</v>
      </c>
      <c r="D69">
        <v>38</v>
      </c>
      <c r="E69" s="1" t="s">
        <v>38</v>
      </c>
      <c r="F69" s="1" t="s">
        <v>71</v>
      </c>
      <c r="G69" s="1" t="s">
        <v>33</v>
      </c>
      <c r="H69" s="1" t="s">
        <v>34</v>
      </c>
      <c r="I69">
        <v>1</v>
      </c>
      <c r="J69">
        <v>8250.15</v>
      </c>
      <c r="K69">
        <v>10</v>
      </c>
      <c r="L69">
        <v>7425.14</v>
      </c>
      <c r="M69" s="1" t="s">
        <v>22</v>
      </c>
      <c r="N69">
        <v>5</v>
      </c>
      <c r="O69">
        <v>1</v>
      </c>
      <c r="P69" s="1" t="s">
        <v>29</v>
      </c>
    </row>
    <row r="70" spans="1:16" x14ac:dyDescent="0.3">
      <c r="A70" s="1" t="s">
        <v>186</v>
      </c>
      <c r="B70">
        <v>46260</v>
      </c>
      <c r="C70" s="1" t="s">
        <v>187</v>
      </c>
      <c r="D70">
        <v>30</v>
      </c>
      <c r="E70" s="1" t="s">
        <v>38</v>
      </c>
      <c r="F70" s="1" t="s">
        <v>99</v>
      </c>
      <c r="G70" s="1" t="s">
        <v>40</v>
      </c>
      <c r="H70" s="1" t="s">
        <v>106</v>
      </c>
      <c r="I70">
        <v>5</v>
      </c>
      <c r="J70">
        <v>6458.99</v>
      </c>
      <c r="K70">
        <v>20</v>
      </c>
      <c r="L70">
        <v>25835.96</v>
      </c>
      <c r="M70" s="1" t="s">
        <v>80</v>
      </c>
      <c r="N70">
        <v>5</v>
      </c>
      <c r="O70">
        <v>1</v>
      </c>
      <c r="P70" s="1"/>
    </row>
    <row r="71" spans="1:16" x14ac:dyDescent="0.3">
      <c r="A71" s="1" t="s">
        <v>188</v>
      </c>
      <c r="B71">
        <v>46091</v>
      </c>
      <c r="C71" s="1" t="s">
        <v>189</v>
      </c>
      <c r="D71">
        <v>62</v>
      </c>
      <c r="E71" s="1" t="s">
        <v>68</v>
      </c>
      <c r="F71" s="1" t="s">
        <v>39</v>
      </c>
      <c r="G71" s="1" t="s">
        <v>72</v>
      </c>
      <c r="H71" s="1" t="s">
        <v>83</v>
      </c>
      <c r="I71">
        <v>1</v>
      </c>
      <c r="J71">
        <v>8274.9699999999993</v>
      </c>
      <c r="K71">
        <v>15</v>
      </c>
      <c r="L71">
        <v>7033.72</v>
      </c>
      <c r="M71" s="1" t="s">
        <v>48</v>
      </c>
      <c r="N71">
        <v>5</v>
      </c>
      <c r="O71">
        <v>3</v>
      </c>
      <c r="P71" s="1" t="s">
        <v>29</v>
      </c>
    </row>
    <row r="72" spans="1:16" x14ac:dyDescent="0.3">
      <c r="A72" s="1" t="s">
        <v>190</v>
      </c>
      <c r="B72">
        <v>46232</v>
      </c>
      <c r="C72" s="1" t="s">
        <v>191</v>
      </c>
      <c r="D72">
        <v>25</v>
      </c>
      <c r="E72" s="1" t="s">
        <v>38</v>
      </c>
      <c r="F72" s="1" t="s">
        <v>90</v>
      </c>
      <c r="G72" s="1" t="s">
        <v>72</v>
      </c>
      <c r="H72" s="1" t="s">
        <v>83</v>
      </c>
      <c r="I72">
        <v>2</v>
      </c>
      <c r="J72">
        <v>4296.3900000000003</v>
      </c>
      <c r="K72">
        <v>20</v>
      </c>
      <c r="L72">
        <v>6874.22</v>
      </c>
      <c r="M72" s="1" t="s">
        <v>35</v>
      </c>
      <c r="N72">
        <v>4</v>
      </c>
      <c r="O72">
        <v>5</v>
      </c>
      <c r="P72" s="1" t="s">
        <v>29</v>
      </c>
    </row>
    <row r="73" spans="1:16" x14ac:dyDescent="0.3">
      <c r="A73" s="1" t="s">
        <v>192</v>
      </c>
      <c r="B73">
        <v>46265</v>
      </c>
      <c r="C73" s="1" t="s">
        <v>193</v>
      </c>
      <c r="E73" s="1" t="s">
        <v>68</v>
      </c>
      <c r="F73" s="1" t="s">
        <v>26</v>
      </c>
      <c r="G73" s="1" t="s">
        <v>20</v>
      </c>
      <c r="H73" s="1" t="s">
        <v>132</v>
      </c>
      <c r="I73">
        <v>2</v>
      </c>
      <c r="J73">
        <v>7845.26</v>
      </c>
      <c r="K73">
        <v>15</v>
      </c>
      <c r="L73">
        <v>13336.94</v>
      </c>
      <c r="M73" s="1" t="s">
        <v>48</v>
      </c>
      <c r="N73">
        <v>5</v>
      </c>
      <c r="O73">
        <v>2</v>
      </c>
      <c r="P73" s="1" t="s">
        <v>29</v>
      </c>
    </row>
    <row r="74" spans="1:16" x14ac:dyDescent="0.3">
      <c r="A74" s="1" t="s">
        <v>194</v>
      </c>
      <c r="B74">
        <v>46236</v>
      </c>
      <c r="C74" s="1" t="s">
        <v>191</v>
      </c>
      <c r="D74">
        <v>35</v>
      </c>
      <c r="E74" s="1" t="s">
        <v>18</v>
      </c>
      <c r="F74" s="1" t="s">
        <v>51</v>
      </c>
      <c r="G74" s="1" t="s">
        <v>27</v>
      </c>
      <c r="H74" s="1" t="s">
        <v>52</v>
      </c>
      <c r="I74">
        <v>3</v>
      </c>
      <c r="J74">
        <v>7138.05</v>
      </c>
      <c r="K74">
        <v>15</v>
      </c>
      <c r="L74">
        <v>18202.03</v>
      </c>
      <c r="M74" s="1" t="s">
        <v>80</v>
      </c>
      <c r="N74">
        <v>5</v>
      </c>
      <c r="O74">
        <v>3</v>
      </c>
      <c r="P74" s="1" t="s">
        <v>29</v>
      </c>
    </row>
    <row r="75" spans="1:16" x14ac:dyDescent="0.3">
      <c r="A75" s="1" t="s">
        <v>195</v>
      </c>
      <c r="B75">
        <v>46200</v>
      </c>
      <c r="C75" s="1" t="s">
        <v>64</v>
      </c>
      <c r="D75">
        <v>52</v>
      </c>
      <c r="E75" s="1" t="s">
        <v>18</v>
      </c>
      <c r="F75" s="1" t="s">
        <v>51</v>
      </c>
      <c r="G75" s="1" t="s">
        <v>72</v>
      </c>
      <c r="H75" s="1" t="s">
        <v>91</v>
      </c>
      <c r="I75">
        <v>3</v>
      </c>
      <c r="J75">
        <v>7407.26</v>
      </c>
      <c r="K75" t="s">
        <v>84</v>
      </c>
      <c r="M75" s="1" t="s">
        <v>48</v>
      </c>
      <c r="N75">
        <v>4</v>
      </c>
      <c r="O75">
        <v>7</v>
      </c>
      <c r="P75" s="1" t="s">
        <v>29</v>
      </c>
    </row>
    <row r="76" spans="1:16" x14ac:dyDescent="0.3">
      <c r="A76" s="1" t="s">
        <v>196</v>
      </c>
      <c r="B76">
        <v>46234</v>
      </c>
      <c r="C76" s="1" t="s">
        <v>197</v>
      </c>
      <c r="D76">
        <v>48</v>
      </c>
      <c r="E76" s="1" t="s">
        <v>68</v>
      </c>
      <c r="F76" s="1" t="s">
        <v>19</v>
      </c>
      <c r="G76" s="1" t="s">
        <v>46</v>
      </c>
      <c r="H76" s="1" t="s">
        <v>198</v>
      </c>
      <c r="I76">
        <v>4</v>
      </c>
      <c r="J76">
        <v>8402.91</v>
      </c>
      <c r="K76">
        <v>25</v>
      </c>
      <c r="L76">
        <v>25208.73</v>
      </c>
      <c r="M76" s="1" t="s">
        <v>48</v>
      </c>
      <c r="N76">
        <v>4</v>
      </c>
      <c r="O76">
        <v>1</v>
      </c>
      <c r="P76" s="1" t="s">
        <v>23</v>
      </c>
    </row>
    <row r="77" spans="1:16" x14ac:dyDescent="0.3">
      <c r="A77" s="1" t="s">
        <v>199</v>
      </c>
      <c r="B77">
        <v>46193</v>
      </c>
      <c r="C77" s="1" t="s">
        <v>98</v>
      </c>
      <c r="D77">
        <v>24</v>
      </c>
      <c r="E77" s="1" t="s">
        <v>68</v>
      </c>
      <c r="F77" s="1" t="s">
        <v>90</v>
      </c>
      <c r="G77" s="1" t="s">
        <v>40</v>
      </c>
      <c r="H77" s="1" t="s">
        <v>200</v>
      </c>
      <c r="I77">
        <v>1</v>
      </c>
      <c r="J77">
        <v>6174.08</v>
      </c>
      <c r="K77">
        <v>10</v>
      </c>
      <c r="L77">
        <v>5556.67</v>
      </c>
      <c r="M77" s="1" t="s">
        <v>48</v>
      </c>
      <c r="N77">
        <v>1</v>
      </c>
      <c r="O77">
        <v>8</v>
      </c>
      <c r="P77" s="1" t="s">
        <v>29</v>
      </c>
    </row>
    <row r="78" spans="1:16" x14ac:dyDescent="0.3">
      <c r="A78" s="1" t="s">
        <v>201</v>
      </c>
      <c r="B78">
        <v>46197</v>
      </c>
      <c r="C78" s="1" t="s">
        <v>95</v>
      </c>
      <c r="D78">
        <v>23</v>
      </c>
      <c r="E78" s="1" t="s">
        <v>18</v>
      </c>
      <c r="F78" s="1" t="s">
        <v>99</v>
      </c>
      <c r="G78" s="1" t="s">
        <v>33</v>
      </c>
      <c r="H78" s="1" t="s">
        <v>112</v>
      </c>
      <c r="I78">
        <v>4</v>
      </c>
      <c r="J78">
        <v>8115.69</v>
      </c>
      <c r="K78">
        <v>20</v>
      </c>
      <c r="L78">
        <v>25970.21</v>
      </c>
      <c r="M78" s="1" t="s">
        <v>80</v>
      </c>
      <c r="N78">
        <v>5</v>
      </c>
      <c r="O78">
        <v>9</v>
      </c>
      <c r="P78" s="1" t="s">
        <v>23</v>
      </c>
    </row>
    <row r="79" spans="1:16" x14ac:dyDescent="0.3">
      <c r="A79" s="1" t="s">
        <v>202</v>
      </c>
      <c r="B79">
        <v>46144</v>
      </c>
      <c r="C79" s="1" t="s">
        <v>203</v>
      </c>
      <c r="D79">
        <v>23</v>
      </c>
      <c r="E79" s="1" t="s">
        <v>38</v>
      </c>
      <c r="F79" s="1" t="s">
        <v>39</v>
      </c>
      <c r="G79" s="1"/>
      <c r="H79" s="1" t="s">
        <v>83</v>
      </c>
      <c r="I79">
        <v>1</v>
      </c>
      <c r="J79">
        <v>3838.03</v>
      </c>
      <c r="K79">
        <v>20</v>
      </c>
      <c r="L79">
        <v>3070.42</v>
      </c>
      <c r="M79" s="1" t="s">
        <v>35</v>
      </c>
      <c r="N79">
        <v>1</v>
      </c>
      <c r="O79">
        <v>1</v>
      </c>
      <c r="P79" s="1" t="s">
        <v>29</v>
      </c>
    </row>
    <row r="80" spans="1:16" x14ac:dyDescent="0.3">
      <c r="A80" s="1" t="s">
        <v>204</v>
      </c>
      <c r="B80">
        <v>46174</v>
      </c>
      <c r="C80" s="1" t="s">
        <v>205</v>
      </c>
      <c r="D80">
        <v>45</v>
      </c>
      <c r="E80" s="1" t="s">
        <v>68</v>
      </c>
      <c r="F80" s="1" t="s">
        <v>51</v>
      </c>
      <c r="G80" s="1" t="s">
        <v>20</v>
      </c>
      <c r="H80" s="1" t="s">
        <v>21</v>
      </c>
      <c r="I80">
        <v>5</v>
      </c>
      <c r="J80">
        <v>3572.99</v>
      </c>
      <c r="K80">
        <v>20</v>
      </c>
      <c r="L80">
        <v>14291.96</v>
      </c>
      <c r="M80" s="1" t="s">
        <v>48</v>
      </c>
      <c r="N80">
        <v>2</v>
      </c>
      <c r="O80">
        <v>3</v>
      </c>
      <c r="P80" s="1" t="s">
        <v>23</v>
      </c>
    </row>
    <row r="81" spans="1:16" x14ac:dyDescent="0.3">
      <c r="A81" s="1" t="s">
        <v>206</v>
      </c>
      <c r="B81">
        <v>46219</v>
      </c>
      <c r="C81" s="1" t="s">
        <v>57</v>
      </c>
      <c r="D81">
        <v>55</v>
      </c>
      <c r="E81" s="1" t="s">
        <v>68</v>
      </c>
      <c r="F81" s="1" t="s">
        <v>26</v>
      </c>
      <c r="G81" s="1" t="s">
        <v>20</v>
      </c>
      <c r="H81" s="1" t="s">
        <v>21</v>
      </c>
      <c r="I81">
        <v>4</v>
      </c>
      <c r="J81">
        <v>5465.64</v>
      </c>
      <c r="K81">
        <v>10</v>
      </c>
      <c r="L81">
        <v>19676.3</v>
      </c>
      <c r="M81" s="1" t="s">
        <v>35</v>
      </c>
      <c r="N81">
        <v>5</v>
      </c>
      <c r="O81">
        <v>1</v>
      </c>
      <c r="P81" s="1" t="s">
        <v>29</v>
      </c>
    </row>
    <row r="82" spans="1:16" x14ac:dyDescent="0.3">
      <c r="A82" s="1" t="s">
        <v>207</v>
      </c>
      <c r="B82">
        <v>46171</v>
      </c>
      <c r="C82" s="1" t="s">
        <v>89</v>
      </c>
      <c r="D82">
        <v>46</v>
      </c>
      <c r="E82" s="1" t="s">
        <v>38</v>
      </c>
      <c r="F82" s="1" t="s">
        <v>32</v>
      </c>
      <c r="G82" s="1" t="s">
        <v>33</v>
      </c>
      <c r="H82" s="1" t="s">
        <v>112</v>
      </c>
      <c r="I82">
        <v>3</v>
      </c>
      <c r="J82">
        <v>5474.31</v>
      </c>
      <c r="K82">
        <v>10</v>
      </c>
      <c r="L82">
        <v>14780.64</v>
      </c>
      <c r="M82" s="1" t="s">
        <v>35</v>
      </c>
      <c r="N82">
        <v>4</v>
      </c>
      <c r="O82">
        <v>5</v>
      </c>
      <c r="P82" s="1" t="s">
        <v>29</v>
      </c>
    </row>
    <row r="83" spans="1:16" x14ac:dyDescent="0.3">
      <c r="A83" s="1" t="s">
        <v>208</v>
      </c>
      <c r="B83">
        <v>46271</v>
      </c>
      <c r="C83" s="1" t="s">
        <v>102</v>
      </c>
      <c r="D83">
        <v>42</v>
      </c>
      <c r="E83" s="1" t="s">
        <v>38</v>
      </c>
      <c r="F83" s="1" t="s">
        <v>90</v>
      </c>
      <c r="G83" s="1" t="s">
        <v>40</v>
      </c>
      <c r="H83" s="1" t="s">
        <v>106</v>
      </c>
      <c r="I83">
        <v>5</v>
      </c>
      <c r="J83">
        <v>2599.41</v>
      </c>
      <c r="K83">
        <v>20</v>
      </c>
      <c r="L83">
        <v>10397.64</v>
      </c>
      <c r="M83" s="1" t="s">
        <v>35</v>
      </c>
      <c r="N83">
        <v>1</v>
      </c>
      <c r="O83">
        <v>7</v>
      </c>
      <c r="P83" s="1" t="s">
        <v>29</v>
      </c>
    </row>
    <row r="84" spans="1:16" x14ac:dyDescent="0.3">
      <c r="A84" s="1" t="s">
        <v>209</v>
      </c>
      <c r="B84">
        <v>46049</v>
      </c>
      <c r="C84" s="1" t="s">
        <v>210</v>
      </c>
      <c r="D84">
        <v>32</v>
      </c>
      <c r="E84" s="1" t="s">
        <v>68</v>
      </c>
      <c r="F84" s="1" t="s">
        <v>55</v>
      </c>
      <c r="G84" s="1" t="s">
        <v>40</v>
      </c>
      <c r="H84" s="1" t="s">
        <v>106</v>
      </c>
      <c r="I84">
        <v>2</v>
      </c>
      <c r="J84">
        <v>5454.86</v>
      </c>
      <c r="K84">
        <v>15</v>
      </c>
      <c r="L84">
        <v>9273.26</v>
      </c>
      <c r="M84" s="1" t="s">
        <v>35</v>
      </c>
      <c r="N84">
        <v>5</v>
      </c>
      <c r="O84">
        <v>3</v>
      </c>
      <c r="P84" s="1" t="s">
        <v>29</v>
      </c>
    </row>
    <row r="85" spans="1:16" x14ac:dyDescent="0.3">
      <c r="A85" s="1" t="s">
        <v>211</v>
      </c>
      <c r="B85">
        <v>46044</v>
      </c>
      <c r="C85" s="1" t="s">
        <v>212</v>
      </c>
      <c r="D85">
        <v>20</v>
      </c>
      <c r="E85" s="1" t="s">
        <v>68</v>
      </c>
      <c r="F85" s="1" t="s">
        <v>39</v>
      </c>
      <c r="G85" s="1" t="s">
        <v>40</v>
      </c>
      <c r="H85" s="1" t="s">
        <v>106</v>
      </c>
      <c r="I85">
        <v>2</v>
      </c>
      <c r="J85">
        <v>875.32</v>
      </c>
      <c r="K85">
        <v>5</v>
      </c>
      <c r="L85">
        <v>1663.11</v>
      </c>
      <c r="M85" s="1" t="s">
        <v>35</v>
      </c>
      <c r="N85">
        <v>5</v>
      </c>
      <c r="P85" s="1" t="s">
        <v>29</v>
      </c>
    </row>
    <row r="86" spans="1:16" x14ac:dyDescent="0.3">
      <c r="A86" s="1" t="s">
        <v>213</v>
      </c>
      <c r="B86">
        <v>46211</v>
      </c>
      <c r="C86" s="1" t="s">
        <v>214</v>
      </c>
      <c r="D86">
        <v>34</v>
      </c>
      <c r="E86" s="1" t="s">
        <v>38</v>
      </c>
      <c r="F86" s="1" t="s">
        <v>39</v>
      </c>
      <c r="G86" s="1" t="s">
        <v>72</v>
      </c>
      <c r="H86" s="1" t="s">
        <v>150</v>
      </c>
      <c r="I86">
        <v>3</v>
      </c>
      <c r="K86">
        <v>10</v>
      </c>
      <c r="M86" s="1" t="s">
        <v>62</v>
      </c>
      <c r="N86">
        <v>2</v>
      </c>
      <c r="O86">
        <v>4</v>
      </c>
      <c r="P86" s="1" t="s">
        <v>29</v>
      </c>
    </row>
    <row r="87" spans="1:16" x14ac:dyDescent="0.3">
      <c r="A87" s="1" t="s">
        <v>215</v>
      </c>
      <c r="B87">
        <v>46227</v>
      </c>
      <c r="C87" s="1" t="s">
        <v>216</v>
      </c>
      <c r="D87">
        <v>43</v>
      </c>
      <c r="E87" s="1" t="s">
        <v>38</v>
      </c>
      <c r="F87" s="1" t="s">
        <v>51</v>
      </c>
      <c r="G87" s="1" t="s">
        <v>27</v>
      </c>
      <c r="H87" s="1" t="s">
        <v>52</v>
      </c>
      <c r="I87">
        <v>5</v>
      </c>
      <c r="J87">
        <v>1155.67</v>
      </c>
      <c r="K87">
        <v>5</v>
      </c>
      <c r="L87">
        <v>5489.43</v>
      </c>
      <c r="M87" s="1" t="s">
        <v>35</v>
      </c>
      <c r="N87">
        <v>4</v>
      </c>
      <c r="O87">
        <v>7</v>
      </c>
      <c r="P87" s="1" t="s">
        <v>29</v>
      </c>
    </row>
    <row r="88" spans="1:16" x14ac:dyDescent="0.3">
      <c r="A88" s="1" t="s">
        <v>217</v>
      </c>
      <c r="B88">
        <v>46079</v>
      </c>
      <c r="C88" s="1" t="s">
        <v>129</v>
      </c>
      <c r="D88">
        <v>19</v>
      </c>
      <c r="E88" s="1" t="s">
        <v>68</v>
      </c>
      <c r="F88" s="1" t="s">
        <v>26</v>
      </c>
      <c r="G88" s="1" t="s">
        <v>40</v>
      </c>
      <c r="H88" s="1" t="s">
        <v>96</v>
      </c>
      <c r="I88">
        <v>3</v>
      </c>
      <c r="J88">
        <v>7789.84</v>
      </c>
      <c r="K88">
        <v>0</v>
      </c>
      <c r="L88">
        <v>23369.52</v>
      </c>
      <c r="M88" s="1" t="s">
        <v>62</v>
      </c>
      <c r="N88">
        <v>5</v>
      </c>
      <c r="O88">
        <v>8</v>
      </c>
      <c r="P88" s="1" t="s">
        <v>29</v>
      </c>
    </row>
    <row r="89" spans="1:16" x14ac:dyDescent="0.3">
      <c r="A89" s="1" t="s">
        <v>218</v>
      </c>
      <c r="B89">
        <v>46233</v>
      </c>
      <c r="C89" s="1" t="s">
        <v>77</v>
      </c>
      <c r="D89">
        <v>20</v>
      </c>
      <c r="E89" s="1" t="s">
        <v>38</v>
      </c>
      <c r="F89" s="1" t="s">
        <v>90</v>
      </c>
      <c r="G89" s="1" t="s">
        <v>27</v>
      </c>
      <c r="H89" s="1" t="s">
        <v>52</v>
      </c>
      <c r="I89">
        <v>4</v>
      </c>
      <c r="J89">
        <v>1093.0899999999999</v>
      </c>
      <c r="K89">
        <v>0</v>
      </c>
      <c r="L89">
        <v>4372.3599999999997</v>
      </c>
      <c r="M89" s="1" t="s">
        <v>22</v>
      </c>
      <c r="N89">
        <v>2</v>
      </c>
      <c r="O89">
        <v>7</v>
      </c>
      <c r="P89" s="1" t="s">
        <v>29</v>
      </c>
    </row>
    <row r="90" spans="1:16" x14ac:dyDescent="0.3">
      <c r="A90" s="1" t="s">
        <v>219</v>
      </c>
      <c r="B90">
        <v>46238</v>
      </c>
      <c r="C90" s="1" t="s">
        <v>220</v>
      </c>
      <c r="D90">
        <v>59</v>
      </c>
      <c r="E90" s="1"/>
      <c r="F90" s="1" t="s">
        <v>32</v>
      </c>
      <c r="G90" s="1" t="s">
        <v>27</v>
      </c>
      <c r="H90" s="1" t="s">
        <v>221</v>
      </c>
      <c r="I90">
        <v>5</v>
      </c>
      <c r="J90">
        <v>3540.01</v>
      </c>
      <c r="K90">
        <v>5</v>
      </c>
      <c r="L90">
        <v>16815.05</v>
      </c>
      <c r="M90" s="1" t="s">
        <v>62</v>
      </c>
      <c r="N90">
        <v>5</v>
      </c>
      <c r="O90">
        <v>6</v>
      </c>
      <c r="P90" s="1" t="s">
        <v>29</v>
      </c>
    </row>
    <row r="91" spans="1:16" x14ac:dyDescent="0.3">
      <c r="A91" s="1" t="s">
        <v>222</v>
      </c>
      <c r="B91">
        <v>46144</v>
      </c>
      <c r="C91" s="1" t="s">
        <v>223</v>
      </c>
      <c r="D91">
        <v>61</v>
      </c>
      <c r="E91" s="1" t="s">
        <v>38</v>
      </c>
      <c r="F91" s="1" t="s">
        <v>51</v>
      </c>
      <c r="G91" s="1" t="s">
        <v>33</v>
      </c>
      <c r="H91" s="1" t="s">
        <v>112</v>
      </c>
      <c r="I91">
        <v>3</v>
      </c>
      <c r="J91">
        <v>627.41</v>
      </c>
      <c r="K91">
        <v>5</v>
      </c>
      <c r="L91">
        <v>1788.12</v>
      </c>
      <c r="M91" s="1" t="s">
        <v>48</v>
      </c>
      <c r="N91">
        <v>1</v>
      </c>
      <c r="O91">
        <v>8</v>
      </c>
      <c r="P91" s="1" t="s">
        <v>23</v>
      </c>
    </row>
    <row r="92" spans="1:16" x14ac:dyDescent="0.3">
      <c r="A92" s="1" t="s">
        <v>224</v>
      </c>
      <c r="B92">
        <v>46034</v>
      </c>
      <c r="C92" s="1" t="s">
        <v>225</v>
      </c>
      <c r="D92">
        <v>33</v>
      </c>
      <c r="E92" s="1" t="s">
        <v>68</v>
      </c>
      <c r="F92" s="1" t="s">
        <v>19</v>
      </c>
      <c r="G92" s="1" t="s">
        <v>20</v>
      </c>
      <c r="H92" s="1" t="s">
        <v>100</v>
      </c>
      <c r="I92">
        <v>2</v>
      </c>
      <c r="J92">
        <v>694.95</v>
      </c>
      <c r="K92">
        <v>25</v>
      </c>
      <c r="L92">
        <v>1042.43</v>
      </c>
      <c r="M92" s="1" t="s">
        <v>109</v>
      </c>
      <c r="N92">
        <v>2</v>
      </c>
      <c r="O92">
        <v>4</v>
      </c>
      <c r="P92" s="1" t="s">
        <v>29</v>
      </c>
    </row>
    <row r="93" spans="1:16" x14ac:dyDescent="0.3">
      <c r="A93" s="1" t="s">
        <v>226</v>
      </c>
      <c r="B93">
        <v>46192</v>
      </c>
      <c r="C93" s="1" t="s">
        <v>31</v>
      </c>
      <c r="D93">
        <v>18</v>
      </c>
      <c r="E93" s="1" t="s">
        <v>18</v>
      </c>
      <c r="F93" s="1" t="s">
        <v>32</v>
      </c>
      <c r="G93" s="1" t="s">
        <v>33</v>
      </c>
      <c r="H93" s="1" t="s">
        <v>115</v>
      </c>
      <c r="I93">
        <v>2</v>
      </c>
      <c r="J93">
        <v>4647.01</v>
      </c>
      <c r="K93">
        <v>25</v>
      </c>
      <c r="L93">
        <v>6970.52</v>
      </c>
      <c r="M93" s="1" t="s">
        <v>48</v>
      </c>
      <c r="N93">
        <v>1</v>
      </c>
      <c r="O93">
        <v>1</v>
      </c>
      <c r="P93" s="1" t="s">
        <v>23</v>
      </c>
    </row>
    <row r="94" spans="1:16" x14ac:dyDescent="0.3">
      <c r="A94" s="1" t="s">
        <v>227</v>
      </c>
      <c r="B94">
        <v>46145</v>
      </c>
      <c r="C94" s="1" t="s">
        <v>64</v>
      </c>
      <c r="D94">
        <v>29</v>
      </c>
      <c r="E94" s="1" t="s">
        <v>38</v>
      </c>
      <c r="F94" s="1" t="s">
        <v>51</v>
      </c>
      <c r="G94" s="1" t="s">
        <v>33</v>
      </c>
      <c r="H94" s="1" t="s">
        <v>43</v>
      </c>
      <c r="I94">
        <v>2</v>
      </c>
      <c r="J94">
        <v>6335.6</v>
      </c>
      <c r="K94">
        <v>15</v>
      </c>
      <c r="L94">
        <v>10770.52</v>
      </c>
      <c r="M94" s="1" t="s">
        <v>62</v>
      </c>
      <c r="N94">
        <v>5</v>
      </c>
      <c r="O94">
        <v>2</v>
      </c>
      <c r="P94" s="1" t="s">
        <v>29</v>
      </c>
    </row>
    <row r="95" spans="1:16" x14ac:dyDescent="0.3">
      <c r="A95" s="1" t="s">
        <v>228</v>
      </c>
      <c r="B95">
        <v>46209</v>
      </c>
      <c r="C95" s="1" t="s">
        <v>119</v>
      </c>
      <c r="D95">
        <v>50</v>
      </c>
      <c r="E95" s="1" t="s">
        <v>68</v>
      </c>
      <c r="F95" s="1" t="s">
        <v>90</v>
      </c>
      <c r="G95" s="1" t="s">
        <v>20</v>
      </c>
      <c r="H95" s="1" t="s">
        <v>100</v>
      </c>
      <c r="I95">
        <v>1</v>
      </c>
      <c r="J95">
        <v>6214.3</v>
      </c>
      <c r="K95">
        <v>25</v>
      </c>
      <c r="L95">
        <v>4660.7299999999996</v>
      </c>
      <c r="M95" s="1" t="s">
        <v>22</v>
      </c>
      <c r="N95">
        <v>3</v>
      </c>
      <c r="O95">
        <v>8</v>
      </c>
      <c r="P95" s="1" t="s">
        <v>29</v>
      </c>
    </row>
    <row r="96" spans="1:16" x14ac:dyDescent="0.3">
      <c r="A96" s="1" t="s">
        <v>229</v>
      </c>
      <c r="B96">
        <v>46055</v>
      </c>
      <c r="C96" s="1" t="s">
        <v>95</v>
      </c>
      <c r="D96">
        <v>45</v>
      </c>
      <c r="E96" s="1" t="s">
        <v>68</v>
      </c>
      <c r="F96" s="1" t="s">
        <v>55</v>
      </c>
      <c r="G96" s="1" t="s">
        <v>46</v>
      </c>
      <c r="H96" s="1" t="s">
        <v>47</v>
      </c>
      <c r="I96">
        <v>4</v>
      </c>
      <c r="J96">
        <v>6089.92</v>
      </c>
      <c r="K96">
        <v>10</v>
      </c>
      <c r="L96">
        <v>21923.71</v>
      </c>
      <c r="M96" s="1" t="s">
        <v>62</v>
      </c>
      <c r="N96">
        <v>1</v>
      </c>
      <c r="O96">
        <v>6</v>
      </c>
      <c r="P96" s="1" t="s">
        <v>29</v>
      </c>
    </row>
    <row r="97" spans="1:16" x14ac:dyDescent="0.3">
      <c r="A97" s="1" t="s">
        <v>230</v>
      </c>
      <c r="B97">
        <v>46088</v>
      </c>
      <c r="C97" s="1" t="s">
        <v>231</v>
      </c>
      <c r="E97" s="1" t="s">
        <v>18</v>
      </c>
      <c r="F97" s="1" t="s">
        <v>39</v>
      </c>
      <c r="G97" s="1" t="s">
        <v>40</v>
      </c>
      <c r="H97" s="1" t="s">
        <v>96</v>
      </c>
      <c r="I97">
        <v>3</v>
      </c>
      <c r="J97">
        <v>3311.98</v>
      </c>
      <c r="K97">
        <v>15</v>
      </c>
      <c r="L97">
        <v>8445.5499999999993</v>
      </c>
      <c r="M97" s="1" t="s">
        <v>22</v>
      </c>
      <c r="N97">
        <v>3</v>
      </c>
      <c r="O97">
        <v>8</v>
      </c>
      <c r="P97" s="1" t="s">
        <v>29</v>
      </c>
    </row>
    <row r="98" spans="1:16" x14ac:dyDescent="0.3">
      <c r="A98" s="1" t="s">
        <v>232</v>
      </c>
      <c r="B98">
        <v>46074</v>
      </c>
      <c r="C98" s="1" t="s">
        <v>233</v>
      </c>
      <c r="D98">
        <v>59</v>
      </c>
      <c r="E98" s="1" t="s">
        <v>18</v>
      </c>
      <c r="F98" s="1" t="s">
        <v>90</v>
      </c>
      <c r="G98" s="1" t="s">
        <v>40</v>
      </c>
      <c r="H98" s="1" t="s">
        <v>117</v>
      </c>
      <c r="I98">
        <v>4</v>
      </c>
      <c r="J98">
        <v>3904.03</v>
      </c>
      <c r="K98">
        <v>0</v>
      </c>
      <c r="L98">
        <v>15616.12</v>
      </c>
      <c r="M98" s="1" t="s">
        <v>80</v>
      </c>
      <c r="N98">
        <v>3</v>
      </c>
      <c r="O98">
        <v>8</v>
      </c>
      <c r="P98" s="1" t="s">
        <v>29</v>
      </c>
    </row>
    <row r="99" spans="1:16" x14ac:dyDescent="0.3">
      <c r="A99" s="1" t="s">
        <v>234</v>
      </c>
      <c r="B99">
        <v>46072</v>
      </c>
      <c r="C99" s="1" t="s">
        <v>17</v>
      </c>
      <c r="D99">
        <v>38</v>
      </c>
      <c r="E99" s="1" t="s">
        <v>68</v>
      </c>
      <c r="F99" s="1" t="s">
        <v>51</v>
      </c>
      <c r="G99" s="1" t="s">
        <v>46</v>
      </c>
      <c r="H99" s="1" t="s">
        <v>65</v>
      </c>
      <c r="I99">
        <v>3</v>
      </c>
      <c r="J99">
        <v>8111.11</v>
      </c>
      <c r="K99">
        <v>20</v>
      </c>
      <c r="L99">
        <v>19466.66</v>
      </c>
      <c r="M99" s="1" t="s">
        <v>80</v>
      </c>
      <c r="N99">
        <v>1</v>
      </c>
      <c r="O99">
        <v>2</v>
      </c>
      <c r="P99" s="1" t="s">
        <v>29</v>
      </c>
    </row>
    <row r="100" spans="1:16" x14ac:dyDescent="0.3">
      <c r="A100" s="1" t="s">
        <v>235</v>
      </c>
      <c r="B100">
        <v>46245</v>
      </c>
      <c r="C100" s="1" t="s">
        <v>205</v>
      </c>
      <c r="D100">
        <v>41</v>
      </c>
      <c r="E100" s="1" t="s">
        <v>18</v>
      </c>
      <c r="F100" s="1" t="s">
        <v>90</v>
      </c>
      <c r="G100" s="1" t="s">
        <v>20</v>
      </c>
      <c r="H100" s="1" t="s">
        <v>100</v>
      </c>
      <c r="I100">
        <v>1</v>
      </c>
      <c r="J100">
        <v>5034.58</v>
      </c>
      <c r="K100">
        <v>15</v>
      </c>
      <c r="L100">
        <v>4279.3900000000003</v>
      </c>
      <c r="M100" s="1" t="s">
        <v>22</v>
      </c>
      <c r="N100">
        <v>3</v>
      </c>
      <c r="O100">
        <v>2</v>
      </c>
      <c r="P100" s="1" t="s">
        <v>29</v>
      </c>
    </row>
    <row r="101" spans="1:16" x14ac:dyDescent="0.3">
      <c r="A101" s="1" t="s">
        <v>236</v>
      </c>
      <c r="B101">
        <v>46240</v>
      </c>
      <c r="C101" s="1" t="s">
        <v>154</v>
      </c>
      <c r="D101">
        <v>56</v>
      </c>
      <c r="E101" s="1" t="s">
        <v>68</v>
      </c>
      <c r="F101" s="1" t="s">
        <v>19</v>
      </c>
      <c r="G101" s="1" t="s">
        <v>33</v>
      </c>
      <c r="H101" s="1" t="s">
        <v>34</v>
      </c>
      <c r="I101">
        <v>1</v>
      </c>
      <c r="J101">
        <v>4962.96</v>
      </c>
      <c r="K101">
        <v>0</v>
      </c>
      <c r="L101">
        <v>4962.96</v>
      </c>
      <c r="M101" s="1" t="s">
        <v>48</v>
      </c>
      <c r="O101">
        <v>8</v>
      </c>
      <c r="P101" s="1" t="s">
        <v>29</v>
      </c>
    </row>
    <row r="102" spans="1:16" x14ac:dyDescent="0.3">
      <c r="A102" s="1" t="s">
        <v>237</v>
      </c>
      <c r="B102">
        <v>46203</v>
      </c>
      <c r="C102" s="1" t="s">
        <v>45</v>
      </c>
      <c r="D102">
        <v>35</v>
      </c>
      <c r="E102" s="1" t="s">
        <v>38</v>
      </c>
      <c r="F102" s="1" t="s">
        <v>51</v>
      </c>
      <c r="G102" s="1" t="s">
        <v>40</v>
      </c>
      <c r="H102" s="1" t="s">
        <v>117</v>
      </c>
      <c r="I102">
        <v>4</v>
      </c>
      <c r="J102">
        <v>7202.4</v>
      </c>
      <c r="K102">
        <v>25</v>
      </c>
      <c r="L102">
        <v>21607.200000000001</v>
      </c>
      <c r="M102" s="1" t="s">
        <v>22</v>
      </c>
      <c r="N102">
        <v>4</v>
      </c>
      <c r="O102">
        <v>9</v>
      </c>
      <c r="P102" s="1" t="s">
        <v>23</v>
      </c>
    </row>
    <row r="103" spans="1:16" x14ac:dyDescent="0.3">
      <c r="A103" s="1" t="s">
        <v>238</v>
      </c>
      <c r="B103">
        <v>46160</v>
      </c>
      <c r="C103" s="1" t="s">
        <v>164</v>
      </c>
      <c r="D103">
        <v>35</v>
      </c>
      <c r="E103" s="1" t="s">
        <v>38</v>
      </c>
      <c r="F103" s="1" t="s">
        <v>19</v>
      </c>
      <c r="G103" s="1" t="s">
        <v>46</v>
      </c>
      <c r="H103" s="1" t="s">
        <v>65</v>
      </c>
      <c r="I103">
        <v>3</v>
      </c>
      <c r="J103">
        <v>3061.58</v>
      </c>
      <c r="K103">
        <v>0</v>
      </c>
      <c r="L103">
        <v>9184.74</v>
      </c>
      <c r="M103" s="1" t="s">
        <v>48</v>
      </c>
      <c r="N103">
        <v>4</v>
      </c>
      <c r="O103">
        <v>7</v>
      </c>
      <c r="P103" s="1" t="s">
        <v>23</v>
      </c>
    </row>
    <row r="104" spans="1:16" x14ac:dyDescent="0.3">
      <c r="A104" s="1" t="s">
        <v>239</v>
      </c>
      <c r="B104">
        <v>46039</v>
      </c>
      <c r="C104" s="1" t="s">
        <v>102</v>
      </c>
      <c r="D104">
        <v>51</v>
      </c>
      <c r="E104" s="1" t="s">
        <v>18</v>
      </c>
      <c r="F104" s="1" t="s">
        <v>90</v>
      </c>
      <c r="G104" s="1" t="s">
        <v>20</v>
      </c>
      <c r="H104" s="1" t="s">
        <v>132</v>
      </c>
      <c r="I104">
        <v>4</v>
      </c>
      <c r="J104">
        <v>3921.55</v>
      </c>
      <c r="K104">
        <v>0</v>
      </c>
      <c r="L104">
        <v>15686.2</v>
      </c>
      <c r="M104" s="1" t="s">
        <v>35</v>
      </c>
      <c r="N104">
        <v>3</v>
      </c>
      <c r="O104">
        <v>6</v>
      </c>
      <c r="P104" s="1" t="s">
        <v>29</v>
      </c>
    </row>
    <row r="105" spans="1:16" x14ac:dyDescent="0.3">
      <c r="A105" s="1" t="s">
        <v>240</v>
      </c>
      <c r="B105">
        <v>46067</v>
      </c>
      <c r="C105" s="1" t="s">
        <v>223</v>
      </c>
      <c r="D105">
        <v>28</v>
      </c>
      <c r="E105" s="1" t="s">
        <v>38</v>
      </c>
      <c r="F105" s="1" t="s">
        <v>19</v>
      </c>
      <c r="G105" s="1" t="s">
        <v>40</v>
      </c>
      <c r="H105" s="1" t="s">
        <v>41</v>
      </c>
      <c r="I105">
        <v>1</v>
      </c>
      <c r="J105">
        <v>2400.2199999999998</v>
      </c>
      <c r="K105">
        <v>20</v>
      </c>
      <c r="L105">
        <v>1920.18</v>
      </c>
      <c r="M105" s="1" t="s">
        <v>80</v>
      </c>
      <c r="N105">
        <v>4</v>
      </c>
      <c r="O105">
        <v>8</v>
      </c>
      <c r="P105" s="1" t="s">
        <v>29</v>
      </c>
    </row>
    <row r="106" spans="1:16" x14ac:dyDescent="0.3">
      <c r="A106" s="1" t="s">
        <v>241</v>
      </c>
      <c r="B106">
        <v>46082</v>
      </c>
      <c r="C106" s="1" t="s">
        <v>203</v>
      </c>
      <c r="D106">
        <v>25</v>
      </c>
      <c r="E106" s="1" t="s">
        <v>68</v>
      </c>
      <c r="F106" s="1" t="s">
        <v>51</v>
      </c>
      <c r="G106" s="1" t="s">
        <v>33</v>
      </c>
      <c r="H106" s="1" t="s">
        <v>112</v>
      </c>
      <c r="I106">
        <v>4</v>
      </c>
      <c r="J106">
        <v>4535.71</v>
      </c>
      <c r="K106">
        <v>5</v>
      </c>
      <c r="L106">
        <v>17235.7</v>
      </c>
      <c r="M106" s="1" t="s">
        <v>62</v>
      </c>
      <c r="N106">
        <v>2</v>
      </c>
      <c r="O106">
        <v>7</v>
      </c>
      <c r="P106" s="1"/>
    </row>
    <row r="107" spans="1:16" x14ac:dyDescent="0.3">
      <c r="A107" s="1" t="s">
        <v>242</v>
      </c>
      <c r="B107">
        <v>46027</v>
      </c>
      <c r="C107" s="1" t="s">
        <v>172</v>
      </c>
      <c r="D107">
        <v>31</v>
      </c>
      <c r="E107" s="1" t="s">
        <v>68</v>
      </c>
      <c r="F107" s="1" t="s">
        <v>26</v>
      </c>
      <c r="G107" s="1" t="s">
        <v>20</v>
      </c>
      <c r="H107" s="1" t="s">
        <v>178</v>
      </c>
      <c r="I107">
        <v>3</v>
      </c>
      <c r="J107">
        <v>2869.67</v>
      </c>
      <c r="K107">
        <v>0</v>
      </c>
      <c r="L107">
        <v>8609.01</v>
      </c>
      <c r="M107" s="1" t="s">
        <v>80</v>
      </c>
      <c r="N107">
        <v>5</v>
      </c>
      <c r="O107">
        <v>7</v>
      </c>
      <c r="P107" s="1" t="s">
        <v>29</v>
      </c>
    </row>
    <row r="108" spans="1:16" x14ac:dyDescent="0.3">
      <c r="A108" s="1" t="s">
        <v>243</v>
      </c>
      <c r="B108">
        <v>46141</v>
      </c>
      <c r="C108" s="1" t="s">
        <v>37</v>
      </c>
      <c r="D108">
        <v>43</v>
      </c>
      <c r="E108" s="1" t="s">
        <v>38</v>
      </c>
      <c r="F108" s="1" t="s">
        <v>71</v>
      </c>
      <c r="G108" s="1" t="s">
        <v>46</v>
      </c>
      <c r="H108" s="1" t="s">
        <v>47</v>
      </c>
      <c r="I108">
        <v>4</v>
      </c>
      <c r="J108">
        <v>277.05</v>
      </c>
      <c r="K108">
        <v>0</v>
      </c>
      <c r="L108">
        <v>1108.2</v>
      </c>
      <c r="M108" s="1" t="s">
        <v>35</v>
      </c>
      <c r="N108">
        <v>4</v>
      </c>
      <c r="O108">
        <v>7</v>
      </c>
      <c r="P108" s="1" t="s">
        <v>29</v>
      </c>
    </row>
    <row r="109" spans="1:16" x14ac:dyDescent="0.3">
      <c r="A109" s="1" t="s">
        <v>244</v>
      </c>
      <c r="B109">
        <v>46237</v>
      </c>
      <c r="C109" s="1" t="s">
        <v>245</v>
      </c>
      <c r="D109">
        <v>43</v>
      </c>
      <c r="E109" s="1" t="s">
        <v>38</v>
      </c>
      <c r="F109" s="1" t="s">
        <v>39</v>
      </c>
      <c r="G109" s="1" t="s">
        <v>27</v>
      </c>
      <c r="H109" s="1" t="s">
        <v>52</v>
      </c>
      <c r="I109">
        <v>2</v>
      </c>
      <c r="J109">
        <v>6835.08</v>
      </c>
      <c r="K109">
        <v>15</v>
      </c>
      <c r="L109">
        <v>11619.64</v>
      </c>
      <c r="M109" s="1" t="s">
        <v>80</v>
      </c>
      <c r="N109">
        <v>5</v>
      </c>
      <c r="O109">
        <v>6</v>
      </c>
      <c r="P109" s="1" t="s">
        <v>23</v>
      </c>
    </row>
    <row r="110" spans="1:16" x14ac:dyDescent="0.3">
      <c r="A110" s="1" t="s">
        <v>246</v>
      </c>
      <c r="B110">
        <v>46078</v>
      </c>
      <c r="C110" s="1" t="s">
        <v>247</v>
      </c>
      <c r="D110">
        <v>55</v>
      </c>
      <c r="E110" s="1" t="s">
        <v>68</v>
      </c>
      <c r="F110" s="1" t="s">
        <v>26</v>
      </c>
      <c r="G110" s="1" t="s">
        <v>72</v>
      </c>
      <c r="H110" s="1" t="s">
        <v>73</v>
      </c>
      <c r="I110">
        <v>1</v>
      </c>
      <c r="J110">
        <v>3436.52</v>
      </c>
      <c r="K110">
        <v>5</v>
      </c>
      <c r="L110">
        <v>3264.69</v>
      </c>
      <c r="M110" s="1" t="s">
        <v>35</v>
      </c>
      <c r="N110">
        <v>2</v>
      </c>
      <c r="O110">
        <v>6</v>
      </c>
      <c r="P110" s="1" t="s">
        <v>29</v>
      </c>
    </row>
    <row r="111" spans="1:16" x14ac:dyDescent="0.3">
      <c r="A111" s="1" t="s">
        <v>248</v>
      </c>
      <c r="B111">
        <v>46082</v>
      </c>
      <c r="C111" s="1" t="s">
        <v>86</v>
      </c>
      <c r="D111">
        <v>40</v>
      </c>
      <c r="E111" s="1" t="s">
        <v>68</v>
      </c>
      <c r="F111" s="1" t="s">
        <v>26</v>
      </c>
      <c r="G111" s="1"/>
      <c r="H111" s="1" t="s">
        <v>122</v>
      </c>
      <c r="I111">
        <v>2</v>
      </c>
      <c r="J111">
        <v>981.5</v>
      </c>
      <c r="K111">
        <v>5</v>
      </c>
      <c r="L111">
        <v>1864.85</v>
      </c>
      <c r="M111" s="1" t="s">
        <v>48</v>
      </c>
      <c r="N111">
        <v>2</v>
      </c>
      <c r="O111">
        <v>3</v>
      </c>
      <c r="P111" s="1" t="s">
        <v>29</v>
      </c>
    </row>
    <row r="112" spans="1:16" x14ac:dyDescent="0.3">
      <c r="A112" s="1" t="s">
        <v>249</v>
      </c>
      <c r="B112">
        <v>46062</v>
      </c>
      <c r="C112" s="1" t="s">
        <v>95</v>
      </c>
      <c r="D112">
        <v>49</v>
      </c>
      <c r="E112" s="1" t="s">
        <v>18</v>
      </c>
      <c r="F112" s="1" t="s">
        <v>32</v>
      </c>
      <c r="G112" s="1" t="s">
        <v>72</v>
      </c>
      <c r="H112" s="1" t="s">
        <v>73</v>
      </c>
      <c r="I112">
        <v>5</v>
      </c>
      <c r="J112">
        <v>3881.83</v>
      </c>
      <c r="K112">
        <v>15</v>
      </c>
      <c r="L112">
        <v>16497.78</v>
      </c>
      <c r="M112" s="1" t="s">
        <v>22</v>
      </c>
      <c r="N112">
        <v>3</v>
      </c>
      <c r="O112">
        <v>6</v>
      </c>
      <c r="P112" s="1" t="s">
        <v>29</v>
      </c>
    </row>
    <row r="113" spans="1:16" x14ac:dyDescent="0.3">
      <c r="A113" s="1" t="s">
        <v>250</v>
      </c>
      <c r="B113">
        <v>46264</v>
      </c>
      <c r="C113" s="1" t="s">
        <v>216</v>
      </c>
      <c r="D113">
        <v>37</v>
      </c>
      <c r="E113" s="1" t="s">
        <v>18</v>
      </c>
      <c r="F113" s="1" t="s">
        <v>55</v>
      </c>
      <c r="G113" s="1" t="s">
        <v>33</v>
      </c>
      <c r="H113" s="1" t="s">
        <v>112</v>
      </c>
      <c r="I113">
        <v>1</v>
      </c>
      <c r="J113">
        <v>3069.28</v>
      </c>
      <c r="K113">
        <v>0</v>
      </c>
      <c r="L113">
        <v>3069.28</v>
      </c>
      <c r="M113" s="1" t="s">
        <v>35</v>
      </c>
      <c r="N113">
        <v>4</v>
      </c>
      <c r="O113">
        <v>8</v>
      </c>
      <c r="P113" s="1" t="s">
        <v>23</v>
      </c>
    </row>
    <row r="114" spans="1:16" x14ac:dyDescent="0.3">
      <c r="A114" s="1" t="s">
        <v>251</v>
      </c>
      <c r="B114">
        <v>46170</v>
      </c>
      <c r="C114" s="1" t="s">
        <v>252</v>
      </c>
      <c r="D114">
        <v>23</v>
      </c>
      <c r="E114" s="1"/>
      <c r="F114" s="1" t="s">
        <v>90</v>
      </c>
      <c r="G114" s="1" t="s">
        <v>40</v>
      </c>
      <c r="H114" s="1" t="s">
        <v>96</v>
      </c>
      <c r="I114">
        <v>5</v>
      </c>
      <c r="J114">
        <v>3341.96</v>
      </c>
      <c r="K114">
        <v>15</v>
      </c>
      <c r="L114">
        <v>14203.33</v>
      </c>
      <c r="M114" s="1" t="s">
        <v>22</v>
      </c>
      <c r="N114">
        <v>5</v>
      </c>
      <c r="O114">
        <v>1</v>
      </c>
      <c r="P114" s="1" t="s">
        <v>29</v>
      </c>
    </row>
    <row r="115" spans="1:16" x14ac:dyDescent="0.3">
      <c r="A115" s="1" t="s">
        <v>253</v>
      </c>
      <c r="B115">
        <v>46120</v>
      </c>
      <c r="C115" s="1" t="s">
        <v>254</v>
      </c>
      <c r="D115">
        <v>48</v>
      </c>
      <c r="E115" s="1" t="s">
        <v>18</v>
      </c>
      <c r="F115" s="1" t="s">
        <v>51</v>
      </c>
      <c r="G115" s="1" t="s">
        <v>40</v>
      </c>
      <c r="H115" s="1" t="s">
        <v>117</v>
      </c>
      <c r="I115">
        <v>1</v>
      </c>
      <c r="J115">
        <v>3895.38</v>
      </c>
      <c r="K115">
        <v>25</v>
      </c>
      <c r="L115">
        <v>2921.53</v>
      </c>
      <c r="M115" s="1" t="s">
        <v>35</v>
      </c>
      <c r="N115">
        <v>5</v>
      </c>
      <c r="O115">
        <v>2</v>
      </c>
      <c r="P115" s="1" t="s">
        <v>29</v>
      </c>
    </row>
    <row r="116" spans="1:16" x14ac:dyDescent="0.3">
      <c r="A116" s="1" t="s">
        <v>255</v>
      </c>
      <c r="B116">
        <v>46044</v>
      </c>
      <c r="C116" s="1" t="s">
        <v>256</v>
      </c>
      <c r="D116">
        <v>46</v>
      </c>
      <c r="E116" s="1" t="s">
        <v>18</v>
      </c>
      <c r="F116" s="1" t="s">
        <v>26</v>
      </c>
      <c r="G116" s="1" t="s">
        <v>72</v>
      </c>
      <c r="H116" s="1" t="s">
        <v>73</v>
      </c>
      <c r="I116">
        <v>5</v>
      </c>
      <c r="J116">
        <v>5230.17</v>
      </c>
      <c r="K116">
        <v>5</v>
      </c>
      <c r="L116">
        <v>24843.31</v>
      </c>
      <c r="M116" s="1" t="s">
        <v>35</v>
      </c>
      <c r="N116">
        <v>3</v>
      </c>
      <c r="O116">
        <v>7</v>
      </c>
      <c r="P116" s="1" t="s">
        <v>29</v>
      </c>
    </row>
    <row r="117" spans="1:16" x14ac:dyDescent="0.3">
      <c r="A117" s="1" t="s">
        <v>257</v>
      </c>
      <c r="B117">
        <v>46050</v>
      </c>
      <c r="C117" s="1" t="s">
        <v>258</v>
      </c>
      <c r="D117">
        <v>39</v>
      </c>
      <c r="E117" s="1" t="s">
        <v>38</v>
      </c>
      <c r="F117" s="1" t="s">
        <v>51</v>
      </c>
      <c r="G117" s="1" t="s">
        <v>27</v>
      </c>
      <c r="H117" s="1" t="s">
        <v>28</v>
      </c>
      <c r="I117">
        <v>4</v>
      </c>
      <c r="J117">
        <v>2501.15</v>
      </c>
      <c r="K117" t="s">
        <v>84</v>
      </c>
      <c r="M117" s="1" t="s">
        <v>22</v>
      </c>
      <c r="N117">
        <v>5</v>
      </c>
      <c r="O117">
        <v>3</v>
      </c>
      <c r="P117" s="1" t="s">
        <v>29</v>
      </c>
    </row>
    <row r="118" spans="1:16" x14ac:dyDescent="0.3">
      <c r="A118" s="1" t="s">
        <v>259</v>
      </c>
      <c r="B118">
        <v>46096</v>
      </c>
      <c r="C118" s="1" t="s">
        <v>260</v>
      </c>
      <c r="D118">
        <v>59</v>
      </c>
      <c r="E118" s="1" t="s">
        <v>68</v>
      </c>
      <c r="F118" s="1" t="s">
        <v>51</v>
      </c>
      <c r="G118" s="1" t="s">
        <v>46</v>
      </c>
      <c r="H118" s="1" t="s">
        <v>198</v>
      </c>
      <c r="I118">
        <v>2</v>
      </c>
      <c r="J118">
        <v>5106.45</v>
      </c>
      <c r="K118">
        <v>0</v>
      </c>
      <c r="L118">
        <v>10212.9</v>
      </c>
      <c r="M118" s="1" t="s">
        <v>35</v>
      </c>
      <c r="N118">
        <v>4</v>
      </c>
      <c r="O118">
        <v>7</v>
      </c>
      <c r="P118" s="1" t="s">
        <v>29</v>
      </c>
    </row>
    <row r="119" spans="1:16" x14ac:dyDescent="0.3">
      <c r="A119" s="1" t="s">
        <v>219</v>
      </c>
      <c r="B119">
        <v>46238</v>
      </c>
      <c r="C119" s="1" t="s">
        <v>220</v>
      </c>
      <c r="D119">
        <v>59</v>
      </c>
      <c r="E119" s="1"/>
      <c r="F119" s="1" t="s">
        <v>32</v>
      </c>
      <c r="G119" s="1" t="s">
        <v>27</v>
      </c>
      <c r="H119" s="1" t="s">
        <v>221</v>
      </c>
      <c r="I119">
        <v>5</v>
      </c>
      <c r="J119">
        <v>3540.01</v>
      </c>
      <c r="K119">
        <v>5</v>
      </c>
      <c r="L119">
        <v>16815.05</v>
      </c>
      <c r="M119" s="1" t="s">
        <v>62</v>
      </c>
      <c r="N119">
        <v>5</v>
      </c>
      <c r="O119">
        <v>6</v>
      </c>
      <c r="P119" s="1" t="s">
        <v>29</v>
      </c>
    </row>
    <row r="120" spans="1:16" x14ac:dyDescent="0.3">
      <c r="A120" s="1" t="s">
        <v>261</v>
      </c>
      <c r="B120">
        <v>46122</v>
      </c>
      <c r="C120" s="1" t="s">
        <v>262</v>
      </c>
      <c r="D120">
        <v>27</v>
      </c>
      <c r="E120" s="1" t="s">
        <v>38</v>
      </c>
      <c r="F120" s="1" t="s">
        <v>26</v>
      </c>
      <c r="G120" s="1" t="s">
        <v>27</v>
      </c>
      <c r="H120" s="1" t="s">
        <v>52</v>
      </c>
      <c r="I120">
        <v>1</v>
      </c>
      <c r="K120">
        <v>15</v>
      </c>
      <c r="M120" s="1" t="s">
        <v>22</v>
      </c>
      <c r="N120">
        <v>1</v>
      </c>
      <c r="O120">
        <v>6</v>
      </c>
      <c r="P120" s="1" t="s">
        <v>29</v>
      </c>
    </row>
    <row r="121" spans="1:16" x14ac:dyDescent="0.3">
      <c r="A121" s="1" t="s">
        <v>263</v>
      </c>
      <c r="B121">
        <v>46091</v>
      </c>
      <c r="C121" s="1" t="s">
        <v>264</v>
      </c>
      <c r="D121">
        <v>28</v>
      </c>
      <c r="E121" s="1" t="s">
        <v>38</v>
      </c>
      <c r="F121" s="1" t="s">
        <v>99</v>
      </c>
      <c r="G121" s="1" t="s">
        <v>20</v>
      </c>
      <c r="H121" s="1" t="s">
        <v>100</v>
      </c>
      <c r="I121">
        <v>2</v>
      </c>
      <c r="J121">
        <v>6163.51</v>
      </c>
      <c r="K121">
        <v>0</v>
      </c>
      <c r="L121">
        <v>12327.02</v>
      </c>
      <c r="M121" s="1" t="s">
        <v>80</v>
      </c>
      <c r="N121">
        <v>3</v>
      </c>
      <c r="O121">
        <v>4</v>
      </c>
      <c r="P121" s="1" t="s">
        <v>29</v>
      </c>
    </row>
    <row r="122" spans="1:16" x14ac:dyDescent="0.3">
      <c r="A122" s="1" t="s">
        <v>265</v>
      </c>
      <c r="B122">
        <v>46169</v>
      </c>
      <c r="C122" s="1" t="s">
        <v>175</v>
      </c>
      <c r="D122">
        <v>52</v>
      </c>
      <c r="E122" s="1" t="s">
        <v>38</v>
      </c>
      <c r="F122" s="1" t="s">
        <v>55</v>
      </c>
      <c r="G122" s="1" t="s">
        <v>20</v>
      </c>
      <c r="H122" s="1" t="s">
        <v>178</v>
      </c>
      <c r="I122">
        <v>4</v>
      </c>
      <c r="J122">
        <v>7695.3</v>
      </c>
      <c r="K122">
        <v>0</v>
      </c>
      <c r="L122">
        <v>30781.200000000001</v>
      </c>
      <c r="M122" s="1" t="s">
        <v>35</v>
      </c>
      <c r="N122">
        <v>5</v>
      </c>
      <c r="O122">
        <v>8</v>
      </c>
      <c r="P122" s="1" t="s">
        <v>29</v>
      </c>
    </row>
    <row r="123" spans="1:16" x14ac:dyDescent="0.3">
      <c r="A123" s="1" t="s">
        <v>266</v>
      </c>
      <c r="B123">
        <v>46219</v>
      </c>
      <c r="C123" s="1" t="s">
        <v>267</v>
      </c>
      <c r="E123" s="1" t="s">
        <v>38</v>
      </c>
      <c r="F123" s="1" t="s">
        <v>99</v>
      </c>
      <c r="G123" s="1" t="s">
        <v>40</v>
      </c>
      <c r="H123" s="1" t="s">
        <v>117</v>
      </c>
      <c r="I123">
        <v>3</v>
      </c>
      <c r="J123">
        <v>557.27</v>
      </c>
      <c r="K123">
        <v>10</v>
      </c>
      <c r="L123">
        <v>1504.63</v>
      </c>
      <c r="M123" s="1" t="s">
        <v>35</v>
      </c>
      <c r="N123">
        <v>4</v>
      </c>
      <c r="O123">
        <v>2</v>
      </c>
      <c r="P123" s="1" t="s">
        <v>29</v>
      </c>
    </row>
    <row r="124" spans="1:16" x14ac:dyDescent="0.3">
      <c r="A124" s="1" t="s">
        <v>268</v>
      </c>
      <c r="B124">
        <v>46087</v>
      </c>
      <c r="C124" s="1" t="s">
        <v>269</v>
      </c>
      <c r="D124">
        <v>28</v>
      </c>
      <c r="E124" s="1" t="s">
        <v>38</v>
      </c>
      <c r="F124" s="1" t="s">
        <v>39</v>
      </c>
      <c r="G124" s="1" t="s">
        <v>33</v>
      </c>
      <c r="H124" s="1" t="s">
        <v>87</v>
      </c>
      <c r="I124">
        <v>5</v>
      </c>
      <c r="J124">
        <v>1354.78</v>
      </c>
      <c r="K124">
        <v>10</v>
      </c>
      <c r="L124">
        <v>6096.51</v>
      </c>
      <c r="M124" s="1" t="s">
        <v>62</v>
      </c>
      <c r="N124">
        <v>2</v>
      </c>
      <c r="O124">
        <v>8</v>
      </c>
      <c r="P124" s="1" t="s">
        <v>29</v>
      </c>
    </row>
    <row r="125" spans="1:16" x14ac:dyDescent="0.3">
      <c r="A125" s="1" t="s">
        <v>270</v>
      </c>
      <c r="B125">
        <v>46037</v>
      </c>
      <c r="C125" s="1" t="s">
        <v>79</v>
      </c>
      <c r="D125">
        <v>43</v>
      </c>
      <c r="E125" s="1" t="s">
        <v>38</v>
      </c>
      <c r="F125" s="1" t="s">
        <v>99</v>
      </c>
      <c r="G125" s="1" t="s">
        <v>40</v>
      </c>
      <c r="H125" s="1" t="s">
        <v>106</v>
      </c>
      <c r="I125">
        <v>2</v>
      </c>
      <c r="J125">
        <v>3356.07</v>
      </c>
      <c r="K125">
        <v>0</v>
      </c>
      <c r="L125">
        <v>6712.14</v>
      </c>
      <c r="M125" s="1" t="s">
        <v>35</v>
      </c>
      <c r="N125">
        <v>2</v>
      </c>
      <c r="P125" s="1" t="s">
        <v>29</v>
      </c>
    </row>
    <row r="126" spans="1:16" x14ac:dyDescent="0.3">
      <c r="A126" s="1" t="s">
        <v>271</v>
      </c>
      <c r="B126">
        <v>46195</v>
      </c>
      <c r="C126" s="1" t="s">
        <v>75</v>
      </c>
      <c r="D126">
        <v>20</v>
      </c>
      <c r="E126" s="1" t="s">
        <v>38</v>
      </c>
      <c r="F126" s="1" t="s">
        <v>32</v>
      </c>
      <c r="G126" s="1" t="s">
        <v>33</v>
      </c>
      <c r="H126" s="1" t="s">
        <v>87</v>
      </c>
      <c r="I126">
        <v>2</v>
      </c>
      <c r="J126">
        <v>6479.09</v>
      </c>
      <c r="K126">
        <v>10</v>
      </c>
      <c r="L126">
        <v>11662.36</v>
      </c>
      <c r="M126" s="1" t="s">
        <v>80</v>
      </c>
      <c r="N126">
        <v>4</v>
      </c>
      <c r="O126">
        <v>1</v>
      </c>
      <c r="P126" s="1" t="s">
        <v>29</v>
      </c>
    </row>
    <row r="127" spans="1:16" x14ac:dyDescent="0.3">
      <c r="A127" s="1" t="s">
        <v>272</v>
      </c>
      <c r="B127">
        <v>46155</v>
      </c>
      <c r="C127" s="1" t="s">
        <v>273</v>
      </c>
      <c r="D127">
        <v>53</v>
      </c>
      <c r="E127" s="1" t="s">
        <v>38</v>
      </c>
      <c r="F127" s="1" t="s">
        <v>26</v>
      </c>
      <c r="G127" s="1" t="s">
        <v>46</v>
      </c>
      <c r="H127" s="1" t="s">
        <v>61</v>
      </c>
      <c r="I127">
        <v>5</v>
      </c>
      <c r="J127">
        <v>3666.87</v>
      </c>
      <c r="K127">
        <v>25</v>
      </c>
      <c r="L127">
        <v>13750.76</v>
      </c>
      <c r="M127" s="1" t="s">
        <v>35</v>
      </c>
      <c r="N127">
        <v>2</v>
      </c>
      <c r="O127">
        <v>5</v>
      </c>
      <c r="P127" s="1" t="s">
        <v>23</v>
      </c>
    </row>
    <row r="128" spans="1:16" x14ac:dyDescent="0.3">
      <c r="A128" s="1" t="s">
        <v>274</v>
      </c>
      <c r="B128">
        <v>46238</v>
      </c>
      <c r="C128" s="1" t="s">
        <v>60</v>
      </c>
      <c r="D128">
        <v>25</v>
      </c>
      <c r="E128" s="1" t="s">
        <v>38</v>
      </c>
      <c r="F128" s="1" t="s">
        <v>55</v>
      </c>
      <c r="G128" s="1" t="s">
        <v>72</v>
      </c>
      <c r="H128" s="1" t="s">
        <v>73</v>
      </c>
      <c r="I128">
        <v>5</v>
      </c>
      <c r="J128">
        <v>257.73</v>
      </c>
      <c r="K128">
        <v>15</v>
      </c>
      <c r="L128">
        <v>1095.3499999999999</v>
      </c>
      <c r="M128" s="1" t="s">
        <v>109</v>
      </c>
      <c r="N128">
        <v>2</v>
      </c>
      <c r="O128">
        <v>3</v>
      </c>
      <c r="P128" s="1" t="s">
        <v>29</v>
      </c>
    </row>
    <row r="129" spans="1:16" x14ac:dyDescent="0.3">
      <c r="A129" s="1" t="s">
        <v>275</v>
      </c>
      <c r="B129">
        <v>46204</v>
      </c>
      <c r="C129" s="1" t="s">
        <v>276</v>
      </c>
      <c r="D129">
        <v>44</v>
      </c>
      <c r="E129" s="1" t="s">
        <v>18</v>
      </c>
      <c r="F129" s="1" t="s">
        <v>26</v>
      </c>
      <c r="G129" s="1" t="s">
        <v>20</v>
      </c>
      <c r="H129" s="1" t="s">
        <v>165</v>
      </c>
      <c r="I129">
        <v>5</v>
      </c>
      <c r="J129">
        <v>8287.6</v>
      </c>
      <c r="K129">
        <v>0</v>
      </c>
      <c r="L129">
        <v>41438</v>
      </c>
      <c r="M129" s="1" t="s">
        <v>22</v>
      </c>
      <c r="N129">
        <v>4</v>
      </c>
      <c r="O129">
        <v>9</v>
      </c>
      <c r="P129" s="1" t="s">
        <v>29</v>
      </c>
    </row>
    <row r="130" spans="1:16" x14ac:dyDescent="0.3">
      <c r="A130" s="1" t="s">
        <v>277</v>
      </c>
      <c r="B130">
        <v>46034</v>
      </c>
      <c r="C130" s="1" t="s">
        <v>233</v>
      </c>
      <c r="D130">
        <v>20</v>
      </c>
      <c r="E130" s="1" t="s">
        <v>68</v>
      </c>
      <c r="F130" s="1" t="s">
        <v>99</v>
      </c>
      <c r="G130" s="1" t="s">
        <v>46</v>
      </c>
      <c r="H130" s="1" t="s">
        <v>198</v>
      </c>
      <c r="I130">
        <v>3</v>
      </c>
      <c r="J130">
        <v>2245.59</v>
      </c>
      <c r="K130">
        <v>0</v>
      </c>
      <c r="L130">
        <v>6736.77</v>
      </c>
      <c r="M130" s="1" t="s">
        <v>35</v>
      </c>
      <c r="N130">
        <v>5</v>
      </c>
      <c r="O130">
        <v>2</v>
      </c>
      <c r="P130" s="1" t="s">
        <v>29</v>
      </c>
    </row>
    <row r="131" spans="1:16" x14ac:dyDescent="0.3">
      <c r="A131" s="1" t="s">
        <v>278</v>
      </c>
      <c r="B131">
        <v>46077</v>
      </c>
      <c r="C131" s="1" t="s">
        <v>252</v>
      </c>
      <c r="D131">
        <v>20</v>
      </c>
      <c r="E131" s="1" t="s">
        <v>38</v>
      </c>
      <c r="F131" s="1" t="s">
        <v>51</v>
      </c>
      <c r="G131" s="1" t="s">
        <v>33</v>
      </c>
      <c r="H131" s="1" t="s">
        <v>112</v>
      </c>
      <c r="I131">
        <v>3</v>
      </c>
      <c r="J131">
        <v>6937.2</v>
      </c>
      <c r="K131">
        <v>0</v>
      </c>
      <c r="L131">
        <v>20811.599999999999</v>
      </c>
      <c r="M131" s="1" t="s">
        <v>80</v>
      </c>
      <c r="N131">
        <v>5</v>
      </c>
      <c r="O131">
        <v>8</v>
      </c>
      <c r="P131" s="1" t="s">
        <v>29</v>
      </c>
    </row>
    <row r="132" spans="1:16" x14ac:dyDescent="0.3">
      <c r="A132" s="1" t="s">
        <v>279</v>
      </c>
      <c r="B132">
        <v>46093</v>
      </c>
      <c r="C132" s="1" t="s">
        <v>67</v>
      </c>
      <c r="D132">
        <v>47</v>
      </c>
      <c r="E132" s="1" t="s">
        <v>18</v>
      </c>
      <c r="F132" s="1" t="s">
        <v>90</v>
      </c>
      <c r="G132" s="1" t="s">
        <v>27</v>
      </c>
      <c r="H132" s="1" t="s">
        <v>52</v>
      </c>
      <c r="I132">
        <v>2</v>
      </c>
      <c r="J132">
        <v>487.1</v>
      </c>
      <c r="K132">
        <v>0</v>
      </c>
      <c r="L132">
        <v>974.2</v>
      </c>
      <c r="M132" s="1" t="s">
        <v>62</v>
      </c>
      <c r="N132">
        <v>3</v>
      </c>
      <c r="O132">
        <v>5</v>
      </c>
      <c r="P132" s="1" t="s">
        <v>29</v>
      </c>
    </row>
    <row r="133" spans="1:16" x14ac:dyDescent="0.3">
      <c r="A133" s="1" t="s">
        <v>280</v>
      </c>
      <c r="B133">
        <v>46266</v>
      </c>
      <c r="C133" s="1" t="s">
        <v>231</v>
      </c>
      <c r="D133">
        <v>59</v>
      </c>
      <c r="E133" s="1" t="s">
        <v>38</v>
      </c>
      <c r="F133" s="1" t="s">
        <v>39</v>
      </c>
      <c r="G133" s="1" t="s">
        <v>20</v>
      </c>
      <c r="H133" s="1" t="s">
        <v>178</v>
      </c>
      <c r="I133">
        <v>3</v>
      </c>
      <c r="J133">
        <v>7344.72</v>
      </c>
      <c r="K133">
        <v>0</v>
      </c>
      <c r="L133">
        <v>22034.16</v>
      </c>
      <c r="M133" s="1" t="s">
        <v>35</v>
      </c>
      <c r="N133">
        <v>3</v>
      </c>
      <c r="O133">
        <v>2</v>
      </c>
      <c r="P133" s="1" t="s">
        <v>29</v>
      </c>
    </row>
    <row r="134" spans="1:16" x14ac:dyDescent="0.3">
      <c r="A134" s="1" t="s">
        <v>281</v>
      </c>
      <c r="B134">
        <v>46228</v>
      </c>
      <c r="C134" s="1" t="s">
        <v>282</v>
      </c>
      <c r="D134">
        <v>39</v>
      </c>
      <c r="E134" s="1" t="s">
        <v>68</v>
      </c>
      <c r="F134" s="1" t="s">
        <v>55</v>
      </c>
      <c r="G134" s="1" t="s">
        <v>20</v>
      </c>
      <c r="H134" s="1" t="s">
        <v>132</v>
      </c>
      <c r="I134">
        <v>4</v>
      </c>
      <c r="J134">
        <v>3198.37</v>
      </c>
      <c r="K134">
        <v>25</v>
      </c>
      <c r="L134">
        <v>9595.11</v>
      </c>
      <c r="M134" s="1" t="s">
        <v>22</v>
      </c>
      <c r="N134">
        <v>3</v>
      </c>
      <c r="O134">
        <v>2</v>
      </c>
      <c r="P134" s="1" t="s">
        <v>29</v>
      </c>
    </row>
    <row r="135" spans="1:16" x14ac:dyDescent="0.3">
      <c r="A135" s="1" t="s">
        <v>283</v>
      </c>
      <c r="B135">
        <v>46244</v>
      </c>
      <c r="C135" s="1" t="s">
        <v>220</v>
      </c>
      <c r="D135">
        <v>36</v>
      </c>
      <c r="E135" s="1" t="s">
        <v>18</v>
      </c>
      <c r="F135" s="1" t="s">
        <v>32</v>
      </c>
      <c r="G135" s="1" t="s">
        <v>33</v>
      </c>
      <c r="H135" s="1" t="s">
        <v>43</v>
      </c>
      <c r="I135">
        <v>1</v>
      </c>
      <c r="J135">
        <v>2867.97</v>
      </c>
      <c r="K135">
        <v>5</v>
      </c>
      <c r="L135">
        <v>2724.57</v>
      </c>
      <c r="M135" s="1" t="s">
        <v>35</v>
      </c>
      <c r="O135">
        <v>7</v>
      </c>
      <c r="P135" s="1" t="s">
        <v>29</v>
      </c>
    </row>
    <row r="136" spans="1:16" x14ac:dyDescent="0.3">
      <c r="A136" s="1" t="s">
        <v>284</v>
      </c>
      <c r="B136">
        <v>46203</v>
      </c>
      <c r="C136" s="1" t="s">
        <v>138</v>
      </c>
      <c r="D136">
        <v>40</v>
      </c>
      <c r="E136" s="1" t="s">
        <v>38</v>
      </c>
      <c r="F136" s="1" t="s">
        <v>55</v>
      </c>
      <c r="G136" s="1" t="s">
        <v>40</v>
      </c>
      <c r="H136" s="1" t="s">
        <v>200</v>
      </c>
      <c r="I136">
        <v>3</v>
      </c>
      <c r="J136">
        <v>5478.75</v>
      </c>
      <c r="K136">
        <v>25</v>
      </c>
      <c r="L136">
        <v>12327.19</v>
      </c>
      <c r="M136" s="1" t="s">
        <v>62</v>
      </c>
      <c r="N136">
        <v>1</v>
      </c>
      <c r="O136">
        <v>7</v>
      </c>
      <c r="P136" s="1" t="s">
        <v>29</v>
      </c>
    </row>
    <row r="137" spans="1:16" x14ac:dyDescent="0.3">
      <c r="A137" s="1" t="s">
        <v>285</v>
      </c>
      <c r="B137">
        <v>46105</v>
      </c>
      <c r="C137" s="1" t="s">
        <v>286</v>
      </c>
      <c r="D137">
        <v>56</v>
      </c>
      <c r="E137" s="1" t="s">
        <v>38</v>
      </c>
      <c r="F137" s="1" t="s">
        <v>19</v>
      </c>
      <c r="G137" s="1" t="s">
        <v>46</v>
      </c>
      <c r="H137" s="1" t="s">
        <v>198</v>
      </c>
      <c r="I137">
        <v>1</v>
      </c>
      <c r="J137">
        <v>1177.81</v>
      </c>
      <c r="K137">
        <v>0</v>
      </c>
      <c r="L137">
        <v>1177.81</v>
      </c>
      <c r="M137" s="1" t="s">
        <v>35</v>
      </c>
      <c r="N137">
        <v>3</v>
      </c>
      <c r="O137">
        <v>7</v>
      </c>
      <c r="P137" s="1" t="s">
        <v>29</v>
      </c>
    </row>
    <row r="138" spans="1:16" x14ac:dyDescent="0.3">
      <c r="A138" s="1" t="s">
        <v>287</v>
      </c>
      <c r="B138">
        <v>46102</v>
      </c>
      <c r="C138" s="1" t="s">
        <v>152</v>
      </c>
      <c r="D138">
        <v>41</v>
      </c>
      <c r="E138" s="1" t="s">
        <v>68</v>
      </c>
      <c r="F138" s="1" t="s">
        <v>55</v>
      </c>
      <c r="G138" s="1" t="s">
        <v>72</v>
      </c>
      <c r="H138" s="1" t="s">
        <v>83</v>
      </c>
      <c r="I138">
        <v>5</v>
      </c>
      <c r="J138">
        <v>1273.8900000000001</v>
      </c>
      <c r="K138">
        <v>5</v>
      </c>
      <c r="L138">
        <v>6050.98</v>
      </c>
      <c r="M138" s="1" t="s">
        <v>80</v>
      </c>
      <c r="N138">
        <v>3</v>
      </c>
      <c r="O138">
        <v>5</v>
      </c>
      <c r="P138" s="1" t="s">
        <v>29</v>
      </c>
    </row>
    <row r="139" spans="1:16" x14ac:dyDescent="0.3">
      <c r="A139" s="1" t="s">
        <v>288</v>
      </c>
      <c r="B139">
        <v>46037</v>
      </c>
      <c r="C139" s="1" t="s">
        <v>181</v>
      </c>
      <c r="D139">
        <v>51</v>
      </c>
      <c r="E139" s="1" t="s">
        <v>68</v>
      </c>
      <c r="F139" s="1" t="s">
        <v>71</v>
      </c>
      <c r="G139" s="1" t="s">
        <v>72</v>
      </c>
      <c r="H139" s="1" t="s">
        <v>73</v>
      </c>
      <c r="I139">
        <v>1</v>
      </c>
      <c r="J139">
        <v>2313.69</v>
      </c>
      <c r="K139">
        <v>5</v>
      </c>
      <c r="L139">
        <v>2198.0100000000002</v>
      </c>
      <c r="M139" s="1" t="s">
        <v>80</v>
      </c>
      <c r="N139">
        <v>2</v>
      </c>
      <c r="O139">
        <v>5</v>
      </c>
      <c r="P139" s="1" t="s">
        <v>29</v>
      </c>
    </row>
    <row r="140" spans="1:16" x14ac:dyDescent="0.3">
      <c r="A140" s="1" t="s">
        <v>289</v>
      </c>
      <c r="B140">
        <v>46126</v>
      </c>
      <c r="C140" s="1" t="s">
        <v>187</v>
      </c>
      <c r="D140">
        <v>22</v>
      </c>
      <c r="E140" s="1" t="s">
        <v>38</v>
      </c>
      <c r="F140" s="1" t="s">
        <v>90</v>
      </c>
      <c r="G140" s="1" t="s">
        <v>72</v>
      </c>
      <c r="H140" s="1" t="s">
        <v>103</v>
      </c>
      <c r="I140">
        <v>4</v>
      </c>
      <c r="J140">
        <v>8477.06</v>
      </c>
      <c r="K140">
        <v>25</v>
      </c>
      <c r="L140">
        <v>25431.18</v>
      </c>
      <c r="M140" s="1" t="s">
        <v>35</v>
      </c>
      <c r="N140">
        <v>5</v>
      </c>
      <c r="O140">
        <v>6</v>
      </c>
      <c r="P140" s="1" t="s">
        <v>29</v>
      </c>
    </row>
    <row r="141" spans="1:16" x14ac:dyDescent="0.3">
      <c r="A141" s="1" t="s">
        <v>290</v>
      </c>
      <c r="B141">
        <v>46172</v>
      </c>
      <c r="C141" s="1" t="s">
        <v>50</v>
      </c>
      <c r="D141">
        <v>62</v>
      </c>
      <c r="E141" s="1" t="s">
        <v>38</v>
      </c>
      <c r="F141" s="1" t="s">
        <v>39</v>
      </c>
      <c r="G141" s="1" t="s">
        <v>46</v>
      </c>
      <c r="H141" s="1" t="s">
        <v>122</v>
      </c>
      <c r="I141">
        <v>3</v>
      </c>
      <c r="J141">
        <v>4383.37</v>
      </c>
      <c r="K141">
        <v>0</v>
      </c>
      <c r="L141">
        <v>13150.11</v>
      </c>
      <c r="M141" s="1" t="s">
        <v>48</v>
      </c>
      <c r="N141">
        <v>5</v>
      </c>
      <c r="O141">
        <v>3</v>
      </c>
      <c r="P141" s="1" t="s">
        <v>29</v>
      </c>
    </row>
    <row r="142" spans="1:16" x14ac:dyDescent="0.3">
      <c r="A142" s="1" t="s">
        <v>291</v>
      </c>
      <c r="B142">
        <v>46037</v>
      </c>
      <c r="C142" s="1" t="s">
        <v>214</v>
      </c>
      <c r="D142">
        <v>54</v>
      </c>
      <c r="E142" s="1" t="s">
        <v>18</v>
      </c>
      <c r="F142" s="1" t="s">
        <v>51</v>
      </c>
      <c r="G142" s="1" t="s">
        <v>33</v>
      </c>
      <c r="H142" s="1" t="s">
        <v>87</v>
      </c>
      <c r="I142">
        <v>5</v>
      </c>
      <c r="J142">
        <v>1207.48</v>
      </c>
      <c r="K142">
        <v>0</v>
      </c>
      <c r="L142">
        <v>6037.4</v>
      </c>
      <c r="M142" s="1" t="s">
        <v>62</v>
      </c>
      <c r="N142">
        <v>3</v>
      </c>
      <c r="O142">
        <v>7</v>
      </c>
      <c r="P142" s="1" t="s">
        <v>29</v>
      </c>
    </row>
    <row r="143" spans="1:16" x14ac:dyDescent="0.3">
      <c r="A143" s="1" t="s">
        <v>292</v>
      </c>
      <c r="B143">
        <v>46269</v>
      </c>
      <c r="C143" s="1" t="s">
        <v>293</v>
      </c>
      <c r="D143">
        <v>54</v>
      </c>
      <c r="E143" s="1" t="s">
        <v>68</v>
      </c>
      <c r="F143" s="1" t="s">
        <v>99</v>
      </c>
      <c r="G143" s="1" t="s">
        <v>27</v>
      </c>
      <c r="H143" s="1" t="s">
        <v>58</v>
      </c>
      <c r="I143">
        <v>3</v>
      </c>
      <c r="J143">
        <v>5502.8</v>
      </c>
      <c r="K143">
        <v>10</v>
      </c>
      <c r="L143">
        <v>14857.56</v>
      </c>
      <c r="M143" s="1" t="s">
        <v>80</v>
      </c>
      <c r="N143">
        <v>5</v>
      </c>
      <c r="O143">
        <v>9</v>
      </c>
      <c r="P143" s="1" t="s">
        <v>29</v>
      </c>
    </row>
    <row r="144" spans="1:16" x14ac:dyDescent="0.3">
      <c r="A144" s="1" t="s">
        <v>294</v>
      </c>
      <c r="B144">
        <v>46117</v>
      </c>
      <c r="C144" s="1" t="s">
        <v>267</v>
      </c>
      <c r="D144">
        <v>50</v>
      </c>
      <c r="E144" s="1" t="s">
        <v>68</v>
      </c>
      <c r="F144" s="1" t="s">
        <v>32</v>
      </c>
      <c r="G144" s="1" t="s">
        <v>27</v>
      </c>
      <c r="H144" s="1" t="s">
        <v>295</v>
      </c>
      <c r="I144">
        <v>5</v>
      </c>
      <c r="J144">
        <v>1402.27</v>
      </c>
      <c r="K144" t="s">
        <v>84</v>
      </c>
      <c r="M144" s="1" t="s">
        <v>48</v>
      </c>
      <c r="N144">
        <v>3</v>
      </c>
      <c r="O144">
        <v>4</v>
      </c>
      <c r="P144" s="1" t="s">
        <v>29</v>
      </c>
    </row>
    <row r="145" spans="1:16" x14ac:dyDescent="0.3">
      <c r="A145" s="1" t="s">
        <v>296</v>
      </c>
      <c r="B145">
        <v>46169</v>
      </c>
      <c r="C145" s="1" t="s">
        <v>297</v>
      </c>
      <c r="E145" s="1" t="s">
        <v>68</v>
      </c>
      <c r="F145" s="1" t="s">
        <v>90</v>
      </c>
      <c r="G145" s="1" t="s">
        <v>46</v>
      </c>
      <c r="H145" s="1" t="s">
        <v>61</v>
      </c>
      <c r="I145">
        <v>3</v>
      </c>
      <c r="J145">
        <v>1168.93</v>
      </c>
      <c r="K145">
        <v>5</v>
      </c>
      <c r="L145">
        <v>3331.45</v>
      </c>
      <c r="M145" s="1" t="s">
        <v>22</v>
      </c>
      <c r="N145">
        <v>4</v>
      </c>
      <c r="O145">
        <v>2</v>
      </c>
      <c r="P145" s="1" t="s">
        <v>29</v>
      </c>
    </row>
    <row r="146" spans="1:16" x14ac:dyDescent="0.3">
      <c r="A146" s="1" t="s">
        <v>298</v>
      </c>
      <c r="B146">
        <v>46102</v>
      </c>
      <c r="C146" s="1" t="s">
        <v>299</v>
      </c>
      <c r="D146">
        <v>57</v>
      </c>
      <c r="E146" s="1" t="s">
        <v>18</v>
      </c>
      <c r="F146" s="1" t="s">
        <v>32</v>
      </c>
      <c r="G146" s="1" t="s">
        <v>46</v>
      </c>
      <c r="H146" s="1" t="s">
        <v>61</v>
      </c>
      <c r="I146">
        <v>3</v>
      </c>
      <c r="J146">
        <v>7180.4</v>
      </c>
      <c r="K146">
        <v>15</v>
      </c>
      <c r="L146">
        <v>18310.02</v>
      </c>
      <c r="M146" s="1" t="s">
        <v>62</v>
      </c>
      <c r="N146">
        <v>5</v>
      </c>
      <c r="O146">
        <v>1</v>
      </c>
      <c r="P146" s="1" t="s">
        <v>23</v>
      </c>
    </row>
    <row r="147" spans="1:16" x14ac:dyDescent="0.3">
      <c r="A147" s="1" t="s">
        <v>300</v>
      </c>
      <c r="B147">
        <v>46159</v>
      </c>
      <c r="C147" s="1" t="s">
        <v>252</v>
      </c>
      <c r="D147">
        <v>44</v>
      </c>
      <c r="E147" s="1" t="s">
        <v>18</v>
      </c>
      <c r="F147" s="1" t="s">
        <v>26</v>
      </c>
      <c r="G147" s="1" t="s">
        <v>40</v>
      </c>
      <c r="H147" s="1" t="s">
        <v>41</v>
      </c>
      <c r="I147">
        <v>4</v>
      </c>
      <c r="J147">
        <v>7569.79</v>
      </c>
      <c r="K147">
        <v>15</v>
      </c>
      <c r="L147">
        <v>25737.29</v>
      </c>
      <c r="M147" s="1" t="s">
        <v>35</v>
      </c>
      <c r="N147">
        <v>5</v>
      </c>
      <c r="O147">
        <v>5</v>
      </c>
      <c r="P147" s="1" t="s">
        <v>29</v>
      </c>
    </row>
    <row r="148" spans="1:16" x14ac:dyDescent="0.3">
      <c r="A148" s="1" t="s">
        <v>301</v>
      </c>
      <c r="B148">
        <v>46231</v>
      </c>
      <c r="C148" s="1" t="s">
        <v>93</v>
      </c>
      <c r="D148">
        <v>22</v>
      </c>
      <c r="E148" s="1" t="s">
        <v>68</v>
      </c>
      <c r="F148" s="1" t="s">
        <v>39</v>
      </c>
      <c r="G148" s="1" t="s">
        <v>46</v>
      </c>
      <c r="H148" s="1" t="s">
        <v>47</v>
      </c>
      <c r="I148">
        <v>2</v>
      </c>
      <c r="J148">
        <v>3803.89</v>
      </c>
      <c r="K148">
        <v>10</v>
      </c>
      <c r="L148">
        <v>6847</v>
      </c>
      <c r="M148" s="1" t="s">
        <v>80</v>
      </c>
      <c r="N148">
        <v>2</v>
      </c>
      <c r="O148">
        <v>6</v>
      </c>
      <c r="P148" s="1" t="s">
        <v>29</v>
      </c>
    </row>
    <row r="149" spans="1:16" x14ac:dyDescent="0.3">
      <c r="A149" s="1" t="s">
        <v>302</v>
      </c>
      <c r="B149">
        <v>46187</v>
      </c>
      <c r="C149" s="1" t="s">
        <v>303</v>
      </c>
      <c r="D149">
        <v>26</v>
      </c>
      <c r="E149" s="1" t="s">
        <v>68</v>
      </c>
      <c r="F149" s="1" t="s">
        <v>51</v>
      </c>
      <c r="G149" s="1" t="s">
        <v>33</v>
      </c>
      <c r="H149" s="1" t="s">
        <v>112</v>
      </c>
      <c r="I149">
        <v>5</v>
      </c>
      <c r="J149">
        <v>1009.82</v>
      </c>
      <c r="K149">
        <v>0</v>
      </c>
      <c r="L149">
        <v>5049.1000000000004</v>
      </c>
      <c r="M149" s="1" t="s">
        <v>80</v>
      </c>
      <c r="N149">
        <v>1</v>
      </c>
      <c r="O149">
        <v>5</v>
      </c>
      <c r="P149" s="1" t="s">
        <v>29</v>
      </c>
    </row>
    <row r="150" spans="1:16" x14ac:dyDescent="0.3">
      <c r="A150" s="1" t="s">
        <v>142</v>
      </c>
      <c r="B150">
        <v>46065</v>
      </c>
      <c r="C150" s="1" t="s">
        <v>108</v>
      </c>
      <c r="D150">
        <v>32</v>
      </c>
      <c r="E150" s="1" t="s">
        <v>38</v>
      </c>
      <c r="F150" s="1" t="s">
        <v>32</v>
      </c>
      <c r="G150" s="1" t="s">
        <v>72</v>
      </c>
      <c r="H150" s="1" t="s">
        <v>103</v>
      </c>
      <c r="I150">
        <v>2</v>
      </c>
      <c r="J150">
        <v>658.24</v>
      </c>
      <c r="K150">
        <v>10</v>
      </c>
      <c r="L150">
        <v>1184.83</v>
      </c>
      <c r="M150" s="1" t="s">
        <v>35</v>
      </c>
      <c r="N150">
        <v>4</v>
      </c>
      <c r="O150">
        <v>8</v>
      </c>
      <c r="P150" s="1" t="s">
        <v>29</v>
      </c>
    </row>
    <row r="151" spans="1:16" x14ac:dyDescent="0.3">
      <c r="A151" s="1" t="s">
        <v>304</v>
      </c>
      <c r="B151">
        <v>46279</v>
      </c>
      <c r="C151" s="1" t="s">
        <v>305</v>
      </c>
      <c r="D151">
        <v>37</v>
      </c>
      <c r="E151" s="1" t="s">
        <v>68</v>
      </c>
      <c r="F151" s="1" t="s">
        <v>55</v>
      </c>
      <c r="G151" s="1" t="s">
        <v>72</v>
      </c>
      <c r="H151" s="1" t="s">
        <v>83</v>
      </c>
      <c r="I151">
        <v>1</v>
      </c>
      <c r="J151">
        <v>8041.05</v>
      </c>
      <c r="K151">
        <v>15</v>
      </c>
      <c r="L151">
        <v>6834.89</v>
      </c>
      <c r="M151" s="1" t="s">
        <v>80</v>
      </c>
      <c r="N151">
        <v>2</v>
      </c>
      <c r="O151">
        <v>4</v>
      </c>
      <c r="P15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0FCB-0829-4981-8452-9CCBA001E699}">
  <dimension ref="A1:Q151"/>
  <sheetViews>
    <sheetView zoomScale="85" workbookViewId="0">
      <selection activeCell="T9" sqref="T9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5.6640625" bestFit="1" customWidth="1"/>
    <col min="5" max="5" width="9.33203125" bestFit="1" customWidth="1"/>
    <col min="6" max="6" width="11.77734375" bestFit="1" customWidth="1"/>
    <col min="7" max="7" width="18.5546875" bestFit="1" customWidth="1"/>
    <col min="8" max="8" width="16.109375" bestFit="1" customWidth="1"/>
    <col min="9" max="9" width="10.5546875" bestFit="1" customWidth="1"/>
    <col min="10" max="10" width="11.88671875" bestFit="1" customWidth="1"/>
    <col min="11" max="11" width="14.21875" bestFit="1" customWidth="1"/>
    <col min="12" max="12" width="15.44140625" bestFit="1" customWidth="1"/>
    <col min="13" max="13" width="18.6640625" bestFit="1" customWidth="1"/>
    <col min="14" max="14" width="17.77734375" bestFit="1" customWidth="1"/>
    <col min="15" max="15" width="15" bestFit="1" customWidth="1"/>
    <col min="16" max="16" width="11" bestFit="1" customWidth="1"/>
    <col min="17" max="17" width="11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311</v>
      </c>
    </row>
    <row r="2" spans="1:17" x14ac:dyDescent="0.3">
      <c r="A2" s="1" t="s">
        <v>16</v>
      </c>
      <c r="B2">
        <v>46081</v>
      </c>
      <c r="C2" s="1" t="s">
        <v>17</v>
      </c>
      <c r="D2">
        <v>35</v>
      </c>
      <c r="E2" s="1" t="s">
        <v>18</v>
      </c>
      <c r="F2" s="1" t="s">
        <v>19</v>
      </c>
      <c r="G2" s="1" t="s">
        <v>20</v>
      </c>
      <c r="H2" s="1" t="s">
        <v>21</v>
      </c>
      <c r="I2">
        <v>2</v>
      </c>
      <c r="J2">
        <v>6291.63</v>
      </c>
      <c r="K2">
        <v>20</v>
      </c>
      <c r="L2">
        <v>10066.61</v>
      </c>
      <c r="M2" s="1" t="s">
        <v>22</v>
      </c>
      <c r="N2">
        <v>1</v>
      </c>
      <c r="O2">
        <v>7</v>
      </c>
      <c r="P2" s="1" t="s">
        <v>23</v>
      </c>
      <c r="Q2">
        <f>COUNTIF($A$2:$A2,$A2)</f>
        <v>1</v>
      </c>
    </row>
    <row r="3" spans="1:17" x14ac:dyDescent="0.3">
      <c r="A3" s="1" t="s">
        <v>24</v>
      </c>
      <c r="B3">
        <v>46135</v>
      </c>
      <c r="C3" s="1" t="s">
        <v>25</v>
      </c>
      <c r="D3">
        <v>56</v>
      </c>
      <c r="E3" s="1" t="s">
        <v>18</v>
      </c>
      <c r="F3" s="1" t="s">
        <v>26</v>
      </c>
      <c r="G3" s="1" t="s">
        <v>27</v>
      </c>
      <c r="H3" s="1" t="s">
        <v>28</v>
      </c>
      <c r="I3">
        <v>2</v>
      </c>
      <c r="J3">
        <v>6120.24</v>
      </c>
      <c r="K3">
        <v>20</v>
      </c>
      <c r="L3">
        <v>9792.3799999999992</v>
      </c>
      <c r="M3" s="1" t="s">
        <v>22</v>
      </c>
      <c r="N3">
        <v>4</v>
      </c>
      <c r="O3">
        <v>4</v>
      </c>
      <c r="P3" s="1" t="s">
        <v>29</v>
      </c>
      <c r="Q3">
        <f>COUNTIF($A$2:$A3,$A3)</f>
        <v>1</v>
      </c>
    </row>
    <row r="4" spans="1:17" x14ac:dyDescent="0.3">
      <c r="A4" s="1" t="s">
        <v>30</v>
      </c>
      <c r="B4">
        <v>46027</v>
      </c>
      <c r="C4" s="1" t="s">
        <v>31</v>
      </c>
      <c r="D4">
        <v>45</v>
      </c>
      <c r="E4" s="1" t="s">
        <v>18</v>
      </c>
      <c r="F4" s="1" t="s">
        <v>32</v>
      </c>
      <c r="G4" s="1" t="s">
        <v>33</v>
      </c>
      <c r="H4" s="1" t="s">
        <v>34</v>
      </c>
      <c r="I4">
        <v>2</v>
      </c>
      <c r="J4">
        <v>1924.33</v>
      </c>
      <c r="K4">
        <v>25</v>
      </c>
      <c r="L4">
        <v>2886.49</v>
      </c>
      <c r="M4" s="1" t="s">
        <v>35</v>
      </c>
      <c r="N4">
        <v>1</v>
      </c>
      <c r="O4">
        <v>2</v>
      </c>
      <c r="P4" s="1" t="s">
        <v>29</v>
      </c>
      <c r="Q4">
        <f>COUNTIF($A$2:$A4,$A4)</f>
        <v>1</v>
      </c>
    </row>
    <row r="5" spans="1:17" x14ac:dyDescent="0.3">
      <c r="A5" s="1" t="s">
        <v>36</v>
      </c>
      <c r="B5">
        <v>46200</v>
      </c>
      <c r="C5" s="1" t="s">
        <v>37</v>
      </c>
      <c r="D5">
        <v>47</v>
      </c>
      <c r="E5" s="1" t="s">
        <v>38</v>
      </c>
      <c r="F5" s="1" t="s">
        <v>39</v>
      </c>
      <c r="G5" s="1" t="s">
        <v>40</v>
      </c>
      <c r="H5" s="1" t="s">
        <v>41</v>
      </c>
      <c r="I5">
        <v>4</v>
      </c>
      <c r="K5">
        <v>5</v>
      </c>
      <c r="M5" s="1" t="s">
        <v>22</v>
      </c>
      <c r="N5">
        <v>5</v>
      </c>
      <c r="O5">
        <v>6</v>
      </c>
      <c r="P5" s="1" t="s">
        <v>29</v>
      </c>
      <c r="Q5">
        <f>COUNTIF($A$2:$A5,$A5)</f>
        <v>1</v>
      </c>
    </row>
    <row r="6" spans="1:17" x14ac:dyDescent="0.3">
      <c r="A6" s="1" t="s">
        <v>42</v>
      </c>
      <c r="B6">
        <v>46059</v>
      </c>
      <c r="C6" s="1" t="s">
        <v>31</v>
      </c>
      <c r="D6">
        <v>32</v>
      </c>
      <c r="E6" s="1" t="s">
        <v>18</v>
      </c>
      <c r="F6" s="1" t="s">
        <v>19</v>
      </c>
      <c r="G6" s="1" t="s">
        <v>33</v>
      </c>
      <c r="H6" s="1" t="s">
        <v>43</v>
      </c>
      <c r="I6">
        <v>2</v>
      </c>
      <c r="J6">
        <v>7381.13</v>
      </c>
      <c r="K6">
        <v>10</v>
      </c>
      <c r="L6">
        <v>13286.03</v>
      </c>
      <c r="M6" s="1" t="s">
        <v>35</v>
      </c>
      <c r="N6">
        <v>4</v>
      </c>
      <c r="O6">
        <v>6</v>
      </c>
      <c r="P6" s="1" t="s">
        <v>29</v>
      </c>
      <c r="Q6">
        <f>COUNTIF($A$2:$A6,$A6)</f>
        <v>1</v>
      </c>
    </row>
    <row r="7" spans="1:17" x14ac:dyDescent="0.3">
      <c r="A7" s="1" t="s">
        <v>44</v>
      </c>
      <c r="B7">
        <v>46131</v>
      </c>
      <c r="C7" s="1" t="s">
        <v>45</v>
      </c>
      <c r="D7">
        <v>61</v>
      </c>
      <c r="E7" s="1"/>
      <c r="F7" s="1" t="s">
        <v>39</v>
      </c>
      <c r="G7" s="1" t="s">
        <v>46</v>
      </c>
      <c r="H7" s="1" t="s">
        <v>47</v>
      </c>
      <c r="I7">
        <v>5</v>
      </c>
      <c r="J7">
        <v>5441.12</v>
      </c>
      <c r="K7">
        <v>15</v>
      </c>
      <c r="L7">
        <v>23124.76</v>
      </c>
      <c r="M7" s="1" t="s">
        <v>48</v>
      </c>
      <c r="N7">
        <v>2</v>
      </c>
      <c r="O7">
        <v>8</v>
      </c>
      <c r="P7" s="1" t="s">
        <v>29</v>
      </c>
      <c r="Q7">
        <f>COUNTIF($A$2:$A7,$A7)</f>
        <v>1</v>
      </c>
    </row>
    <row r="8" spans="1:17" x14ac:dyDescent="0.3">
      <c r="A8" s="1" t="s">
        <v>49</v>
      </c>
      <c r="B8">
        <v>46136</v>
      </c>
      <c r="C8" s="1" t="s">
        <v>50</v>
      </c>
      <c r="D8">
        <v>32</v>
      </c>
      <c r="E8" s="1" t="s">
        <v>38</v>
      </c>
      <c r="F8" s="1" t="s">
        <v>51</v>
      </c>
      <c r="G8" s="1" t="s">
        <v>27</v>
      </c>
      <c r="H8" s="1" t="s">
        <v>52</v>
      </c>
      <c r="I8">
        <v>4</v>
      </c>
      <c r="J8">
        <v>2363.67</v>
      </c>
      <c r="K8">
        <v>0</v>
      </c>
      <c r="L8">
        <v>9454.68</v>
      </c>
      <c r="M8" s="1" t="s">
        <v>22</v>
      </c>
      <c r="N8">
        <v>5</v>
      </c>
      <c r="O8">
        <v>6</v>
      </c>
      <c r="P8" s="1" t="s">
        <v>29</v>
      </c>
      <c r="Q8">
        <f>COUNTIF($A$2:$A8,$A8)</f>
        <v>1</v>
      </c>
    </row>
    <row r="9" spans="1:17" x14ac:dyDescent="0.3">
      <c r="A9" s="1" t="s">
        <v>53</v>
      </c>
      <c r="B9">
        <v>46226</v>
      </c>
      <c r="C9" s="1" t="s">
        <v>54</v>
      </c>
      <c r="E9" s="1" t="s">
        <v>38</v>
      </c>
      <c r="F9" s="1" t="s">
        <v>55</v>
      </c>
      <c r="G9" s="1" t="s">
        <v>20</v>
      </c>
      <c r="H9" s="1" t="s">
        <v>21</v>
      </c>
      <c r="I9">
        <v>5</v>
      </c>
      <c r="J9">
        <v>4636.63</v>
      </c>
      <c r="K9">
        <v>20</v>
      </c>
      <c r="L9">
        <v>18546.52</v>
      </c>
      <c r="M9" s="1" t="s">
        <v>22</v>
      </c>
      <c r="N9">
        <v>4</v>
      </c>
      <c r="O9">
        <v>7</v>
      </c>
      <c r="P9" s="1" t="s">
        <v>29</v>
      </c>
      <c r="Q9">
        <f>COUNTIF($A$2:$A9,$A9)</f>
        <v>1</v>
      </c>
    </row>
    <row r="10" spans="1:17" x14ac:dyDescent="0.3">
      <c r="A10" s="1" t="s">
        <v>56</v>
      </c>
      <c r="B10">
        <v>46284</v>
      </c>
      <c r="C10" s="1" t="s">
        <v>57</v>
      </c>
      <c r="D10">
        <v>21</v>
      </c>
      <c r="E10" s="1" t="s">
        <v>38</v>
      </c>
      <c r="F10" s="1" t="s">
        <v>55</v>
      </c>
      <c r="G10" s="1" t="s">
        <v>27</v>
      </c>
      <c r="H10" s="1" t="s">
        <v>58</v>
      </c>
      <c r="I10">
        <v>2</v>
      </c>
      <c r="J10">
        <v>6757.63</v>
      </c>
      <c r="K10">
        <v>10</v>
      </c>
      <c r="L10">
        <v>12163.73</v>
      </c>
      <c r="M10" s="1" t="s">
        <v>22</v>
      </c>
      <c r="N10">
        <v>1</v>
      </c>
      <c r="O10">
        <v>7</v>
      </c>
      <c r="P10" s="1" t="s">
        <v>29</v>
      </c>
      <c r="Q10">
        <f>COUNTIF($A$2:$A10,$A10)</f>
        <v>1</v>
      </c>
    </row>
    <row r="11" spans="1:17" x14ac:dyDescent="0.3">
      <c r="A11" s="1" t="s">
        <v>59</v>
      </c>
      <c r="B11">
        <v>46152</v>
      </c>
      <c r="C11" s="1" t="s">
        <v>60</v>
      </c>
      <c r="D11">
        <v>25</v>
      </c>
      <c r="E11" s="1" t="s">
        <v>18</v>
      </c>
      <c r="F11" s="1" t="s">
        <v>19</v>
      </c>
      <c r="G11" s="1" t="s">
        <v>46</v>
      </c>
      <c r="H11" s="1" t="s">
        <v>61</v>
      </c>
      <c r="I11">
        <v>3</v>
      </c>
      <c r="J11">
        <v>6560.86</v>
      </c>
      <c r="K11">
        <v>5</v>
      </c>
      <c r="L11">
        <v>18698.45</v>
      </c>
      <c r="M11" s="1" t="s">
        <v>62</v>
      </c>
      <c r="N11">
        <v>3</v>
      </c>
      <c r="O11">
        <v>7</v>
      </c>
      <c r="P11" s="1" t="s">
        <v>29</v>
      </c>
      <c r="Q11">
        <f>COUNTIF($A$2:$A11,$A11)</f>
        <v>1</v>
      </c>
    </row>
    <row r="12" spans="1:17" x14ac:dyDescent="0.3">
      <c r="A12" s="1" t="s">
        <v>63</v>
      </c>
      <c r="B12">
        <v>46158</v>
      </c>
      <c r="C12" s="1" t="s">
        <v>64</v>
      </c>
      <c r="D12">
        <v>24</v>
      </c>
      <c r="E12" s="1" t="s">
        <v>18</v>
      </c>
      <c r="F12" s="1" t="s">
        <v>32</v>
      </c>
      <c r="G12" s="1" t="s">
        <v>46</v>
      </c>
      <c r="H12" s="1" t="s">
        <v>65</v>
      </c>
      <c r="I12">
        <v>5</v>
      </c>
      <c r="J12">
        <v>5223.17</v>
      </c>
      <c r="K12">
        <v>0</v>
      </c>
      <c r="L12">
        <v>26115.85</v>
      </c>
      <c r="M12" s="1" t="s">
        <v>35</v>
      </c>
      <c r="N12">
        <v>5</v>
      </c>
      <c r="O12">
        <v>3</v>
      </c>
      <c r="P12" s="1" t="s">
        <v>29</v>
      </c>
      <c r="Q12">
        <f>COUNTIF($A$2:$A12,$A12)</f>
        <v>1</v>
      </c>
    </row>
    <row r="13" spans="1:17" x14ac:dyDescent="0.3">
      <c r="A13" s="1" t="s">
        <v>66</v>
      </c>
      <c r="B13">
        <v>46024</v>
      </c>
      <c r="C13" s="1" t="s">
        <v>67</v>
      </c>
      <c r="D13">
        <v>19</v>
      </c>
      <c r="E13" s="1" t="s">
        <v>68</v>
      </c>
      <c r="F13" s="1" t="s">
        <v>51</v>
      </c>
      <c r="G13" s="1" t="s">
        <v>27</v>
      </c>
      <c r="H13" s="1" t="s">
        <v>52</v>
      </c>
      <c r="I13">
        <v>3</v>
      </c>
      <c r="J13">
        <v>2126.61</v>
      </c>
      <c r="K13">
        <v>0</v>
      </c>
      <c r="L13">
        <v>6379.83</v>
      </c>
      <c r="M13" s="1" t="s">
        <v>22</v>
      </c>
      <c r="N13">
        <v>1</v>
      </c>
      <c r="O13">
        <v>2</v>
      </c>
      <c r="P13" s="1" t="s">
        <v>29</v>
      </c>
      <c r="Q13">
        <f>COUNTIF($A$2:$A13,$A13)</f>
        <v>1</v>
      </c>
    </row>
    <row r="14" spans="1:17" x14ac:dyDescent="0.3">
      <c r="A14" s="1" t="s">
        <v>69</v>
      </c>
      <c r="B14">
        <v>46059</v>
      </c>
      <c r="C14" s="1" t="s">
        <v>70</v>
      </c>
      <c r="D14">
        <v>60</v>
      </c>
      <c r="E14" s="1" t="s">
        <v>38</v>
      </c>
      <c r="F14" s="1" t="s">
        <v>71</v>
      </c>
      <c r="G14" s="1" t="s">
        <v>72</v>
      </c>
      <c r="H14" s="1" t="s">
        <v>73</v>
      </c>
      <c r="I14">
        <v>2</v>
      </c>
      <c r="J14">
        <v>2341.17</v>
      </c>
      <c r="K14">
        <v>25</v>
      </c>
      <c r="L14">
        <v>3511.76</v>
      </c>
      <c r="M14" s="1" t="s">
        <v>22</v>
      </c>
      <c r="N14">
        <v>4</v>
      </c>
      <c r="O14">
        <v>4</v>
      </c>
      <c r="P14" s="1" t="s">
        <v>29</v>
      </c>
      <c r="Q14">
        <f>COUNTIF($A$2:$A14,$A14)</f>
        <v>1</v>
      </c>
    </row>
    <row r="15" spans="1:17" x14ac:dyDescent="0.3">
      <c r="A15" s="1" t="s">
        <v>74</v>
      </c>
      <c r="B15">
        <v>46126</v>
      </c>
      <c r="C15" s="1" t="s">
        <v>75</v>
      </c>
      <c r="D15">
        <v>60</v>
      </c>
      <c r="E15" s="1" t="s">
        <v>68</v>
      </c>
      <c r="F15" s="1" t="s">
        <v>39</v>
      </c>
      <c r="G15" s="1" t="s">
        <v>46</v>
      </c>
      <c r="H15" s="1" t="s">
        <v>65</v>
      </c>
      <c r="I15">
        <v>4</v>
      </c>
      <c r="J15">
        <v>7658.77</v>
      </c>
      <c r="K15">
        <v>10</v>
      </c>
      <c r="L15">
        <v>27571.57</v>
      </c>
      <c r="M15" s="1" t="s">
        <v>62</v>
      </c>
      <c r="N15">
        <v>2</v>
      </c>
      <c r="O15">
        <v>4</v>
      </c>
      <c r="P15" s="1" t="s">
        <v>23</v>
      </c>
      <c r="Q15">
        <f>COUNTIF($A$2:$A15,$A15)</f>
        <v>1</v>
      </c>
    </row>
    <row r="16" spans="1:17" x14ac:dyDescent="0.3">
      <c r="A16" s="1" t="s">
        <v>76</v>
      </c>
      <c r="B16">
        <v>46141</v>
      </c>
      <c r="C16" s="1" t="s">
        <v>77</v>
      </c>
      <c r="D16">
        <v>22</v>
      </c>
      <c r="E16" s="1" t="s">
        <v>38</v>
      </c>
      <c r="F16" s="1" t="s">
        <v>26</v>
      </c>
      <c r="G16" s="1" t="s">
        <v>46</v>
      </c>
      <c r="H16" s="1" t="s">
        <v>47</v>
      </c>
      <c r="I16">
        <v>2</v>
      </c>
      <c r="J16">
        <v>684.81</v>
      </c>
      <c r="K16">
        <v>0</v>
      </c>
      <c r="L16">
        <v>1369.62</v>
      </c>
      <c r="M16" s="1" t="s">
        <v>35</v>
      </c>
      <c r="O16">
        <v>9</v>
      </c>
      <c r="P16" s="1" t="s">
        <v>29</v>
      </c>
      <c r="Q16">
        <f>COUNTIF($A$2:$A16,$A16)</f>
        <v>1</v>
      </c>
    </row>
    <row r="17" spans="1:17" x14ac:dyDescent="0.3">
      <c r="A17" s="1" t="s">
        <v>78</v>
      </c>
      <c r="B17">
        <v>46272</v>
      </c>
      <c r="C17" s="1" t="s">
        <v>79</v>
      </c>
      <c r="D17">
        <v>26</v>
      </c>
      <c r="E17" s="1" t="s">
        <v>18</v>
      </c>
      <c r="F17" s="1" t="s">
        <v>26</v>
      </c>
      <c r="G17" s="1" t="s">
        <v>46</v>
      </c>
      <c r="H17" s="1" t="s">
        <v>61</v>
      </c>
      <c r="I17">
        <v>5</v>
      </c>
      <c r="J17">
        <v>4080.98</v>
      </c>
      <c r="K17">
        <v>25</v>
      </c>
      <c r="L17">
        <v>15303.68</v>
      </c>
      <c r="M17" s="1" t="s">
        <v>80</v>
      </c>
      <c r="N17">
        <v>5</v>
      </c>
      <c r="O17">
        <v>7</v>
      </c>
      <c r="P17" s="1" t="s">
        <v>29</v>
      </c>
      <c r="Q17">
        <f>COUNTIF($A$2:$A17,$A17)</f>
        <v>1</v>
      </c>
    </row>
    <row r="18" spans="1:17" x14ac:dyDescent="0.3">
      <c r="A18" s="1" t="s">
        <v>81</v>
      </c>
      <c r="B18">
        <v>46244</v>
      </c>
      <c r="C18" s="1" t="s">
        <v>82</v>
      </c>
      <c r="D18">
        <v>44</v>
      </c>
      <c r="E18" s="1" t="s">
        <v>68</v>
      </c>
      <c r="F18" s="1" t="s">
        <v>51</v>
      </c>
      <c r="G18" s="1" t="s">
        <v>72</v>
      </c>
      <c r="H18" s="1" t="s">
        <v>83</v>
      </c>
      <c r="I18">
        <v>1</v>
      </c>
      <c r="J18">
        <v>627.92999999999995</v>
      </c>
      <c r="K18" t="s">
        <v>84</v>
      </c>
      <c r="M18" s="1" t="s">
        <v>35</v>
      </c>
      <c r="N18">
        <v>5</v>
      </c>
      <c r="O18">
        <v>2</v>
      </c>
      <c r="P18" s="1" t="s">
        <v>29</v>
      </c>
      <c r="Q18">
        <f>COUNTIF($A$2:$A18,$A18)</f>
        <v>1</v>
      </c>
    </row>
    <row r="19" spans="1:17" x14ac:dyDescent="0.3">
      <c r="A19" s="1" t="s">
        <v>85</v>
      </c>
      <c r="B19">
        <v>46253</v>
      </c>
      <c r="C19" s="1" t="s">
        <v>86</v>
      </c>
      <c r="D19">
        <v>29</v>
      </c>
      <c r="E19" s="1" t="s">
        <v>68</v>
      </c>
      <c r="F19" s="1" t="s">
        <v>32</v>
      </c>
      <c r="G19" s="1" t="s">
        <v>33</v>
      </c>
      <c r="H19" s="1" t="s">
        <v>87</v>
      </c>
      <c r="I19">
        <v>2</v>
      </c>
      <c r="J19">
        <v>7448.19</v>
      </c>
      <c r="K19">
        <v>0</v>
      </c>
      <c r="L19">
        <v>14896.38</v>
      </c>
      <c r="M19" s="1" t="s">
        <v>80</v>
      </c>
      <c r="N19">
        <v>5</v>
      </c>
      <c r="O19">
        <v>9</v>
      </c>
      <c r="P19" s="1" t="s">
        <v>23</v>
      </c>
      <c r="Q19">
        <f>COUNTIF($A$2:$A19,$A19)</f>
        <v>1</v>
      </c>
    </row>
    <row r="20" spans="1:17" x14ac:dyDescent="0.3">
      <c r="A20" s="1" t="s">
        <v>88</v>
      </c>
      <c r="B20">
        <v>46031</v>
      </c>
      <c r="C20" s="1" t="s">
        <v>89</v>
      </c>
      <c r="D20">
        <v>28</v>
      </c>
      <c r="E20" s="1" t="s">
        <v>38</v>
      </c>
      <c r="F20" s="1" t="s">
        <v>90</v>
      </c>
      <c r="G20" s="1"/>
      <c r="H20" s="1" t="s">
        <v>91</v>
      </c>
      <c r="I20">
        <v>4</v>
      </c>
      <c r="J20">
        <v>1911.2</v>
      </c>
      <c r="K20">
        <v>10</v>
      </c>
      <c r="L20">
        <v>6880.32</v>
      </c>
      <c r="M20" s="1" t="s">
        <v>62</v>
      </c>
      <c r="N20">
        <v>2</v>
      </c>
      <c r="O20">
        <v>7</v>
      </c>
      <c r="P20" s="1" t="s">
        <v>23</v>
      </c>
      <c r="Q20">
        <f>COUNTIF($A$2:$A20,$A20)</f>
        <v>1</v>
      </c>
    </row>
    <row r="21" spans="1:17" x14ac:dyDescent="0.3">
      <c r="A21" s="1" t="s">
        <v>92</v>
      </c>
      <c r="B21">
        <v>46159</v>
      </c>
      <c r="C21" s="1" t="s">
        <v>93</v>
      </c>
      <c r="D21">
        <v>45</v>
      </c>
      <c r="E21" s="1" t="s">
        <v>68</v>
      </c>
      <c r="F21" s="1" t="s">
        <v>55</v>
      </c>
      <c r="G21" s="1" t="s">
        <v>46</v>
      </c>
      <c r="H21" s="1" t="s">
        <v>61</v>
      </c>
      <c r="I21">
        <v>4</v>
      </c>
      <c r="J21">
        <v>1417.2</v>
      </c>
      <c r="K21">
        <v>5</v>
      </c>
      <c r="L21">
        <v>5385.36</v>
      </c>
      <c r="M21" s="1" t="s">
        <v>48</v>
      </c>
      <c r="N21">
        <v>1</v>
      </c>
      <c r="O21">
        <v>9</v>
      </c>
      <c r="P21" s="1" t="s">
        <v>23</v>
      </c>
      <c r="Q21">
        <f>COUNTIF($A$2:$A21,$A21)</f>
        <v>1</v>
      </c>
    </row>
    <row r="22" spans="1:17" x14ac:dyDescent="0.3">
      <c r="A22" s="1" t="s">
        <v>94</v>
      </c>
      <c r="B22">
        <v>46053</v>
      </c>
      <c r="C22" s="1" t="s">
        <v>95</v>
      </c>
      <c r="D22">
        <v>48</v>
      </c>
      <c r="E22" s="1" t="s">
        <v>18</v>
      </c>
      <c r="F22" s="1" t="s">
        <v>19</v>
      </c>
      <c r="G22" s="1" t="s">
        <v>40</v>
      </c>
      <c r="H22" s="1" t="s">
        <v>96</v>
      </c>
      <c r="I22">
        <v>2</v>
      </c>
      <c r="J22">
        <v>596.65</v>
      </c>
      <c r="K22">
        <v>15</v>
      </c>
      <c r="L22">
        <v>1014.3</v>
      </c>
      <c r="M22" s="1" t="s">
        <v>62</v>
      </c>
      <c r="N22">
        <v>5</v>
      </c>
      <c r="P22" s="1" t="s">
        <v>23</v>
      </c>
      <c r="Q22">
        <f>COUNTIF($A$2:$A22,$A22)</f>
        <v>1</v>
      </c>
    </row>
    <row r="23" spans="1:17" x14ac:dyDescent="0.3">
      <c r="A23" s="1" t="s">
        <v>97</v>
      </c>
      <c r="B23">
        <v>46144</v>
      </c>
      <c r="C23" s="1" t="s">
        <v>98</v>
      </c>
      <c r="D23">
        <v>54</v>
      </c>
      <c r="E23" s="1" t="s">
        <v>38</v>
      </c>
      <c r="F23" s="1" t="s">
        <v>99</v>
      </c>
      <c r="G23" s="1" t="s">
        <v>20</v>
      </c>
      <c r="H23" s="1" t="s">
        <v>100</v>
      </c>
      <c r="I23">
        <v>5</v>
      </c>
      <c r="J23">
        <v>453.04</v>
      </c>
      <c r="K23">
        <v>0</v>
      </c>
      <c r="L23">
        <v>2265.1999999999998</v>
      </c>
      <c r="M23" s="1" t="s">
        <v>80</v>
      </c>
      <c r="N23">
        <v>5</v>
      </c>
      <c r="O23">
        <v>9</v>
      </c>
      <c r="P23" s="1" t="s">
        <v>29</v>
      </c>
      <c r="Q23">
        <f>COUNTIF($A$2:$A23,$A23)</f>
        <v>1</v>
      </c>
    </row>
    <row r="24" spans="1:17" x14ac:dyDescent="0.3">
      <c r="A24" s="1" t="s">
        <v>101</v>
      </c>
      <c r="B24">
        <v>46128</v>
      </c>
      <c r="C24" s="1" t="s">
        <v>102</v>
      </c>
      <c r="E24" s="1" t="s">
        <v>38</v>
      </c>
      <c r="F24" s="1" t="s">
        <v>51</v>
      </c>
      <c r="G24" s="1" t="s">
        <v>72</v>
      </c>
      <c r="H24" s="1" t="s">
        <v>103</v>
      </c>
      <c r="I24">
        <v>3</v>
      </c>
      <c r="J24">
        <v>3951.54</v>
      </c>
      <c r="K24">
        <v>25</v>
      </c>
      <c r="L24">
        <v>8890.9699999999993</v>
      </c>
      <c r="M24" s="1" t="s">
        <v>62</v>
      </c>
      <c r="N24">
        <v>1</v>
      </c>
      <c r="O24">
        <v>8</v>
      </c>
      <c r="P24" s="1" t="s">
        <v>29</v>
      </c>
      <c r="Q24">
        <f>COUNTIF($A$2:$A24,$A24)</f>
        <v>1</v>
      </c>
    </row>
    <row r="25" spans="1:17" x14ac:dyDescent="0.3">
      <c r="A25" s="1" t="s">
        <v>104</v>
      </c>
      <c r="B25">
        <v>46075</v>
      </c>
      <c r="C25" s="1" t="s">
        <v>105</v>
      </c>
      <c r="D25">
        <v>31</v>
      </c>
      <c r="E25" s="1" t="s">
        <v>18</v>
      </c>
      <c r="F25" s="1" t="s">
        <v>90</v>
      </c>
      <c r="G25" s="1" t="s">
        <v>40</v>
      </c>
      <c r="H25" s="1" t="s">
        <v>106</v>
      </c>
      <c r="I25">
        <v>2</v>
      </c>
      <c r="J25">
        <v>7940.71</v>
      </c>
      <c r="K25">
        <v>0</v>
      </c>
      <c r="L25">
        <v>15881.42</v>
      </c>
      <c r="M25" s="1" t="s">
        <v>48</v>
      </c>
      <c r="N25">
        <v>3</v>
      </c>
      <c r="O25">
        <v>5</v>
      </c>
      <c r="P25" s="1" t="s">
        <v>29</v>
      </c>
      <c r="Q25">
        <f>COUNTIF($A$2:$A25,$A25)</f>
        <v>1</v>
      </c>
    </row>
    <row r="26" spans="1:17" x14ac:dyDescent="0.3">
      <c r="A26" s="1" t="s">
        <v>107</v>
      </c>
      <c r="B26">
        <v>46178</v>
      </c>
      <c r="C26" s="1" t="s">
        <v>108</v>
      </c>
      <c r="D26">
        <v>53</v>
      </c>
      <c r="E26" s="1" t="s">
        <v>18</v>
      </c>
      <c r="F26" s="1" t="s">
        <v>19</v>
      </c>
      <c r="G26" s="1" t="s">
        <v>33</v>
      </c>
      <c r="H26" s="1" t="s">
        <v>43</v>
      </c>
      <c r="I26">
        <v>2</v>
      </c>
      <c r="J26">
        <v>2336.2199999999998</v>
      </c>
      <c r="K26">
        <v>0</v>
      </c>
      <c r="L26">
        <v>4672.4399999999996</v>
      </c>
      <c r="M26" s="1" t="s">
        <v>109</v>
      </c>
      <c r="N26">
        <v>2</v>
      </c>
      <c r="O26">
        <v>5</v>
      </c>
      <c r="P26" s="1" t="s">
        <v>29</v>
      </c>
      <c r="Q26">
        <f>COUNTIF($A$2:$A26,$A26)</f>
        <v>1</v>
      </c>
    </row>
    <row r="27" spans="1:17" x14ac:dyDescent="0.3">
      <c r="A27" s="1" t="s">
        <v>110</v>
      </c>
      <c r="B27">
        <v>46199</v>
      </c>
      <c r="C27" s="1" t="s">
        <v>111</v>
      </c>
      <c r="D27">
        <v>58</v>
      </c>
      <c r="E27" s="1" t="s">
        <v>18</v>
      </c>
      <c r="F27" s="1" t="s">
        <v>26</v>
      </c>
      <c r="G27" s="1" t="s">
        <v>33</v>
      </c>
      <c r="H27" s="1" t="s">
        <v>112</v>
      </c>
      <c r="I27">
        <v>4</v>
      </c>
      <c r="J27">
        <v>2224.4</v>
      </c>
      <c r="K27">
        <v>25</v>
      </c>
      <c r="L27">
        <v>6673.2</v>
      </c>
      <c r="M27" s="1" t="s">
        <v>62</v>
      </c>
      <c r="N27">
        <v>1</v>
      </c>
      <c r="O27">
        <v>7</v>
      </c>
      <c r="P27" s="1" t="s">
        <v>29</v>
      </c>
      <c r="Q27">
        <f>COUNTIF($A$2:$A27,$A27)</f>
        <v>1</v>
      </c>
    </row>
    <row r="28" spans="1:17" x14ac:dyDescent="0.3">
      <c r="A28" s="1" t="s">
        <v>113</v>
      </c>
      <c r="B28">
        <v>46025</v>
      </c>
      <c r="C28" s="1" t="s">
        <v>114</v>
      </c>
      <c r="D28">
        <v>58</v>
      </c>
      <c r="E28" s="1" t="s">
        <v>38</v>
      </c>
      <c r="F28" s="1" t="s">
        <v>51</v>
      </c>
      <c r="G28" s="1" t="s">
        <v>33</v>
      </c>
      <c r="H28" s="1" t="s">
        <v>115</v>
      </c>
      <c r="I28">
        <v>4</v>
      </c>
      <c r="J28">
        <v>4743.08</v>
      </c>
      <c r="K28">
        <v>10</v>
      </c>
      <c r="L28">
        <v>17075.09</v>
      </c>
      <c r="M28" s="1" t="s">
        <v>22</v>
      </c>
      <c r="N28">
        <v>1</v>
      </c>
      <c r="O28">
        <v>2</v>
      </c>
      <c r="P28" s="1" t="s">
        <v>23</v>
      </c>
      <c r="Q28">
        <f>COUNTIF($A$2:$A28,$A28)</f>
        <v>1</v>
      </c>
    </row>
    <row r="29" spans="1:17" x14ac:dyDescent="0.3">
      <c r="A29" s="1" t="s">
        <v>116</v>
      </c>
      <c r="B29">
        <v>46100</v>
      </c>
      <c r="C29" s="1" t="s">
        <v>108</v>
      </c>
      <c r="D29">
        <v>55</v>
      </c>
      <c r="E29" s="1" t="s">
        <v>68</v>
      </c>
      <c r="F29" s="1" t="s">
        <v>19</v>
      </c>
      <c r="G29" s="1" t="s">
        <v>40</v>
      </c>
      <c r="H29" s="1" t="s">
        <v>117</v>
      </c>
      <c r="I29">
        <v>4</v>
      </c>
      <c r="J29">
        <v>1187.99</v>
      </c>
      <c r="K29">
        <v>5</v>
      </c>
      <c r="L29">
        <v>4514.3599999999997</v>
      </c>
      <c r="M29" s="1" t="s">
        <v>35</v>
      </c>
      <c r="N29">
        <v>5</v>
      </c>
      <c r="O29">
        <v>1</v>
      </c>
      <c r="P29" s="1" t="s">
        <v>29</v>
      </c>
      <c r="Q29">
        <f>COUNTIF($A$2:$A29,$A29)</f>
        <v>1</v>
      </c>
    </row>
    <row r="30" spans="1:17" x14ac:dyDescent="0.3">
      <c r="A30" s="1" t="s">
        <v>118</v>
      </c>
      <c r="B30">
        <v>46151</v>
      </c>
      <c r="C30" s="1" t="s">
        <v>119</v>
      </c>
      <c r="D30">
        <v>53</v>
      </c>
      <c r="E30" s="1" t="s">
        <v>68</v>
      </c>
      <c r="F30" s="1" t="s">
        <v>90</v>
      </c>
      <c r="G30" s="1" t="s">
        <v>72</v>
      </c>
      <c r="H30" s="1" t="s">
        <v>73</v>
      </c>
      <c r="I30">
        <v>2</v>
      </c>
      <c r="K30">
        <v>0</v>
      </c>
      <c r="M30" s="1" t="s">
        <v>48</v>
      </c>
      <c r="N30">
        <v>5</v>
      </c>
      <c r="O30">
        <v>3</v>
      </c>
      <c r="P30" s="1" t="s">
        <v>29</v>
      </c>
      <c r="Q30">
        <f>COUNTIF($A$2:$A30,$A30)</f>
        <v>1</v>
      </c>
    </row>
    <row r="31" spans="1:17" x14ac:dyDescent="0.3">
      <c r="A31" s="1" t="s">
        <v>120</v>
      </c>
      <c r="B31">
        <v>46115</v>
      </c>
      <c r="C31" s="1" t="s">
        <v>121</v>
      </c>
      <c r="D31">
        <v>60</v>
      </c>
      <c r="E31" s="1" t="s">
        <v>68</v>
      </c>
      <c r="F31" s="1" t="s">
        <v>51</v>
      </c>
      <c r="G31" s="1" t="s">
        <v>46</v>
      </c>
      <c r="H31" s="1" t="s">
        <v>122</v>
      </c>
      <c r="I31">
        <v>3</v>
      </c>
      <c r="J31">
        <v>1454.08</v>
      </c>
      <c r="K31">
        <v>20</v>
      </c>
      <c r="L31">
        <v>3489.79</v>
      </c>
      <c r="M31" s="1" t="s">
        <v>62</v>
      </c>
      <c r="N31">
        <v>4</v>
      </c>
      <c r="O31">
        <v>1</v>
      </c>
      <c r="P31" s="1" t="s">
        <v>29</v>
      </c>
      <c r="Q31">
        <f>COUNTIF($A$2:$A31,$A31)</f>
        <v>1</v>
      </c>
    </row>
    <row r="32" spans="1:17" x14ac:dyDescent="0.3">
      <c r="A32" s="1" t="s">
        <v>123</v>
      </c>
      <c r="B32">
        <v>46126</v>
      </c>
      <c r="C32" s="1" t="s">
        <v>25</v>
      </c>
      <c r="D32">
        <v>37</v>
      </c>
      <c r="E32" s="1" t="s">
        <v>68</v>
      </c>
      <c r="F32" s="1" t="s">
        <v>55</v>
      </c>
      <c r="G32" s="1" t="s">
        <v>20</v>
      </c>
      <c r="H32" s="1" t="s">
        <v>21</v>
      </c>
      <c r="I32">
        <v>1</v>
      </c>
      <c r="J32">
        <v>5651.08</v>
      </c>
      <c r="K32">
        <v>10</v>
      </c>
      <c r="L32">
        <v>5085.97</v>
      </c>
      <c r="M32" s="1" t="s">
        <v>35</v>
      </c>
      <c r="N32">
        <v>3</v>
      </c>
      <c r="O32">
        <v>2</v>
      </c>
      <c r="P32" s="1" t="s">
        <v>29</v>
      </c>
      <c r="Q32">
        <f>COUNTIF($A$2:$A32,$A32)</f>
        <v>1</v>
      </c>
    </row>
    <row r="33" spans="1:17" x14ac:dyDescent="0.3">
      <c r="A33" s="1" t="s">
        <v>124</v>
      </c>
      <c r="B33">
        <v>46203</v>
      </c>
      <c r="C33" s="1" t="s">
        <v>125</v>
      </c>
      <c r="D33">
        <v>52</v>
      </c>
      <c r="E33" s="1"/>
      <c r="F33" s="1" t="s">
        <v>99</v>
      </c>
      <c r="G33" s="1" t="s">
        <v>33</v>
      </c>
      <c r="H33" s="1" t="s">
        <v>43</v>
      </c>
      <c r="I33">
        <v>1</v>
      </c>
      <c r="J33">
        <v>7469.58</v>
      </c>
      <c r="K33">
        <v>5</v>
      </c>
      <c r="L33">
        <v>7096.1</v>
      </c>
      <c r="M33" s="1" t="s">
        <v>48</v>
      </c>
      <c r="N33">
        <v>4</v>
      </c>
      <c r="O33">
        <v>5</v>
      </c>
      <c r="P33" s="1" t="s">
        <v>23</v>
      </c>
      <c r="Q33">
        <f>COUNTIF($A$2:$A33,$A33)</f>
        <v>1</v>
      </c>
    </row>
    <row r="34" spans="1:17" x14ac:dyDescent="0.3">
      <c r="A34" s="1" t="s">
        <v>126</v>
      </c>
      <c r="B34">
        <v>46246</v>
      </c>
      <c r="C34" s="1" t="s">
        <v>60</v>
      </c>
      <c r="D34">
        <v>38</v>
      </c>
      <c r="E34" s="1" t="s">
        <v>18</v>
      </c>
      <c r="F34" s="1" t="s">
        <v>51</v>
      </c>
      <c r="G34" s="1" t="s">
        <v>72</v>
      </c>
      <c r="H34" s="1" t="s">
        <v>73</v>
      </c>
      <c r="I34">
        <v>5</v>
      </c>
      <c r="J34">
        <v>1089.1099999999999</v>
      </c>
      <c r="K34">
        <v>15</v>
      </c>
      <c r="L34">
        <v>4628.72</v>
      </c>
      <c r="M34" s="1" t="s">
        <v>48</v>
      </c>
      <c r="N34">
        <v>3</v>
      </c>
      <c r="O34">
        <v>1</v>
      </c>
      <c r="P34" s="1" t="s">
        <v>29</v>
      </c>
      <c r="Q34">
        <f>COUNTIF($A$2:$A34,$A34)</f>
        <v>1</v>
      </c>
    </row>
    <row r="35" spans="1:17" x14ac:dyDescent="0.3">
      <c r="A35" s="1" t="s">
        <v>127</v>
      </c>
      <c r="B35">
        <v>46124</v>
      </c>
      <c r="C35" s="1" t="s">
        <v>77</v>
      </c>
      <c r="D35">
        <v>22</v>
      </c>
      <c r="E35" s="1" t="s">
        <v>68</v>
      </c>
      <c r="F35" s="1" t="s">
        <v>51</v>
      </c>
      <c r="G35" s="1" t="s">
        <v>46</v>
      </c>
      <c r="H35" s="1" t="s">
        <v>65</v>
      </c>
      <c r="I35">
        <v>5</v>
      </c>
      <c r="J35">
        <v>2750.61</v>
      </c>
      <c r="K35">
        <v>25</v>
      </c>
      <c r="L35">
        <v>10314.790000000001</v>
      </c>
      <c r="M35" s="1" t="s">
        <v>62</v>
      </c>
      <c r="N35">
        <v>5</v>
      </c>
      <c r="O35">
        <v>5</v>
      </c>
      <c r="P35" s="1" t="s">
        <v>29</v>
      </c>
      <c r="Q35">
        <f>COUNTIF($A$2:$A35,$A35)</f>
        <v>1</v>
      </c>
    </row>
    <row r="36" spans="1:17" x14ac:dyDescent="0.3">
      <c r="A36" s="1" t="s">
        <v>128</v>
      </c>
      <c r="B36">
        <v>46233</v>
      </c>
      <c r="C36" s="1" t="s">
        <v>129</v>
      </c>
      <c r="D36">
        <v>62</v>
      </c>
      <c r="E36" s="1" t="s">
        <v>68</v>
      </c>
      <c r="F36" s="1" t="s">
        <v>51</v>
      </c>
      <c r="G36" s="1" t="s">
        <v>33</v>
      </c>
      <c r="H36" s="1" t="s">
        <v>112</v>
      </c>
      <c r="I36">
        <v>2</v>
      </c>
      <c r="J36">
        <v>1727.62</v>
      </c>
      <c r="K36">
        <v>20</v>
      </c>
      <c r="L36">
        <v>2764.19</v>
      </c>
      <c r="M36" s="1" t="s">
        <v>80</v>
      </c>
      <c r="N36">
        <v>5</v>
      </c>
      <c r="O36">
        <v>3</v>
      </c>
      <c r="P36" s="1"/>
      <c r="Q36">
        <f>COUNTIF($A$2:$A36,$A36)</f>
        <v>1</v>
      </c>
    </row>
    <row r="37" spans="1:17" x14ac:dyDescent="0.3">
      <c r="A37" s="1" t="s">
        <v>130</v>
      </c>
      <c r="B37">
        <v>46231</v>
      </c>
      <c r="C37" s="1" t="s">
        <v>131</v>
      </c>
      <c r="D37">
        <v>36</v>
      </c>
      <c r="E37" s="1" t="s">
        <v>68</v>
      </c>
      <c r="F37" s="1" t="s">
        <v>19</v>
      </c>
      <c r="G37" s="1" t="s">
        <v>20</v>
      </c>
      <c r="H37" s="1" t="s">
        <v>132</v>
      </c>
      <c r="I37">
        <v>5</v>
      </c>
      <c r="J37">
        <v>5203.82</v>
      </c>
      <c r="K37">
        <v>5</v>
      </c>
      <c r="L37">
        <v>24718.14</v>
      </c>
      <c r="M37" s="1" t="s">
        <v>80</v>
      </c>
      <c r="N37">
        <v>4</v>
      </c>
      <c r="O37">
        <v>8</v>
      </c>
      <c r="P37" s="1" t="s">
        <v>29</v>
      </c>
      <c r="Q37">
        <f>COUNTIF($A$2:$A37,$A37)</f>
        <v>1</v>
      </c>
    </row>
    <row r="38" spans="1:17" x14ac:dyDescent="0.3">
      <c r="A38" s="1" t="s">
        <v>133</v>
      </c>
      <c r="B38">
        <v>46266</v>
      </c>
      <c r="C38" s="1" t="s">
        <v>134</v>
      </c>
      <c r="D38">
        <v>23</v>
      </c>
      <c r="E38" s="1" t="s">
        <v>18</v>
      </c>
      <c r="F38" s="1" t="s">
        <v>32</v>
      </c>
      <c r="G38" s="1" t="s">
        <v>33</v>
      </c>
      <c r="H38" s="1" t="s">
        <v>112</v>
      </c>
      <c r="I38">
        <v>5</v>
      </c>
      <c r="J38">
        <v>2928.88</v>
      </c>
      <c r="K38">
        <v>25</v>
      </c>
      <c r="L38">
        <v>10983.3</v>
      </c>
      <c r="M38" s="1" t="s">
        <v>48</v>
      </c>
      <c r="N38">
        <v>5</v>
      </c>
      <c r="O38">
        <v>5</v>
      </c>
      <c r="P38" s="1" t="s">
        <v>29</v>
      </c>
      <c r="Q38">
        <f>COUNTIF($A$2:$A38,$A38)</f>
        <v>1</v>
      </c>
    </row>
    <row r="39" spans="1:17" x14ac:dyDescent="0.3">
      <c r="A39" s="1" t="s">
        <v>135</v>
      </c>
      <c r="B39">
        <v>46099</v>
      </c>
      <c r="C39" s="1" t="s">
        <v>136</v>
      </c>
      <c r="D39">
        <v>33</v>
      </c>
      <c r="E39" s="1" t="s">
        <v>38</v>
      </c>
      <c r="F39" s="1" t="s">
        <v>19</v>
      </c>
      <c r="G39" s="1" t="s">
        <v>72</v>
      </c>
      <c r="H39" s="1" t="s">
        <v>73</v>
      </c>
      <c r="I39">
        <v>1</v>
      </c>
      <c r="J39">
        <v>3936.39</v>
      </c>
      <c r="K39" t="s">
        <v>84</v>
      </c>
      <c r="M39" s="1" t="s">
        <v>22</v>
      </c>
      <c r="N39">
        <v>2</v>
      </c>
      <c r="O39">
        <v>7</v>
      </c>
      <c r="P39" s="1" t="s">
        <v>29</v>
      </c>
      <c r="Q39">
        <f>COUNTIF($A$2:$A39,$A39)</f>
        <v>1</v>
      </c>
    </row>
    <row r="40" spans="1:17" x14ac:dyDescent="0.3">
      <c r="A40" s="1" t="s">
        <v>137</v>
      </c>
      <c r="B40">
        <v>46099</v>
      </c>
      <c r="C40" s="1" t="s">
        <v>138</v>
      </c>
      <c r="D40">
        <v>45</v>
      </c>
      <c r="E40" s="1" t="s">
        <v>38</v>
      </c>
      <c r="F40" s="1" t="s">
        <v>19</v>
      </c>
      <c r="G40" s="1" t="s">
        <v>20</v>
      </c>
      <c r="H40" s="1" t="s">
        <v>21</v>
      </c>
      <c r="I40">
        <v>5</v>
      </c>
      <c r="J40">
        <v>4012.93</v>
      </c>
      <c r="K40">
        <v>15</v>
      </c>
      <c r="L40">
        <v>17054.95</v>
      </c>
      <c r="M40" s="1" t="s">
        <v>48</v>
      </c>
      <c r="N40">
        <v>5</v>
      </c>
      <c r="O40">
        <v>2</v>
      </c>
      <c r="P40" s="1" t="s">
        <v>29</v>
      </c>
      <c r="Q40">
        <f>COUNTIF($A$2:$A40,$A40)</f>
        <v>1</v>
      </c>
    </row>
    <row r="41" spans="1:17" x14ac:dyDescent="0.3">
      <c r="A41" s="1" t="s">
        <v>139</v>
      </c>
      <c r="B41">
        <v>46261</v>
      </c>
      <c r="C41" s="1" t="s">
        <v>70</v>
      </c>
      <c r="D41">
        <v>57</v>
      </c>
      <c r="E41" s="1" t="s">
        <v>68</v>
      </c>
      <c r="F41" s="1" t="s">
        <v>51</v>
      </c>
      <c r="G41" s="1" t="s">
        <v>46</v>
      </c>
      <c r="H41" s="1" t="s">
        <v>61</v>
      </c>
      <c r="I41">
        <v>4</v>
      </c>
      <c r="J41">
        <v>7080.17</v>
      </c>
      <c r="K41">
        <v>15</v>
      </c>
      <c r="L41">
        <v>24072.58</v>
      </c>
      <c r="M41" s="1" t="s">
        <v>80</v>
      </c>
      <c r="N41">
        <v>2</v>
      </c>
      <c r="O41">
        <v>8</v>
      </c>
      <c r="P41" s="1" t="s">
        <v>29</v>
      </c>
      <c r="Q41">
        <f>COUNTIF($A$2:$A41,$A41)</f>
        <v>1</v>
      </c>
    </row>
    <row r="42" spans="1:17" x14ac:dyDescent="0.3">
      <c r="A42" s="1" t="s">
        <v>140</v>
      </c>
      <c r="B42">
        <v>46150</v>
      </c>
      <c r="C42" s="1" t="s">
        <v>141</v>
      </c>
      <c r="D42">
        <v>49</v>
      </c>
      <c r="E42" s="1" t="s">
        <v>18</v>
      </c>
      <c r="F42" s="1" t="s">
        <v>71</v>
      </c>
      <c r="G42" s="1" t="s">
        <v>46</v>
      </c>
      <c r="H42" s="1" t="s">
        <v>122</v>
      </c>
      <c r="I42">
        <v>3</v>
      </c>
      <c r="J42">
        <v>3806.13</v>
      </c>
      <c r="K42">
        <v>20</v>
      </c>
      <c r="L42">
        <v>9134.7099999999991</v>
      </c>
      <c r="M42" s="1" t="s">
        <v>35</v>
      </c>
      <c r="N42">
        <v>2</v>
      </c>
      <c r="O42">
        <v>5</v>
      </c>
      <c r="P42" s="1" t="s">
        <v>29</v>
      </c>
      <c r="Q42">
        <f>COUNTIF($A$2:$A42,$A42)</f>
        <v>1</v>
      </c>
    </row>
    <row r="43" spans="1:17" x14ac:dyDescent="0.3">
      <c r="A43" s="1" t="s">
        <v>142</v>
      </c>
      <c r="B43">
        <v>46065</v>
      </c>
      <c r="C43" s="1" t="s">
        <v>108</v>
      </c>
      <c r="D43">
        <v>32</v>
      </c>
      <c r="E43" s="1" t="s">
        <v>38</v>
      </c>
      <c r="F43" s="1" t="s">
        <v>32</v>
      </c>
      <c r="G43" s="1" t="s">
        <v>72</v>
      </c>
      <c r="H43" s="1" t="s">
        <v>103</v>
      </c>
      <c r="I43">
        <v>2</v>
      </c>
      <c r="J43">
        <v>658.24</v>
      </c>
      <c r="K43">
        <v>10</v>
      </c>
      <c r="L43">
        <v>1184.83</v>
      </c>
      <c r="M43" s="1" t="s">
        <v>35</v>
      </c>
      <c r="N43">
        <v>4</v>
      </c>
      <c r="O43">
        <v>8</v>
      </c>
      <c r="P43" s="1" t="s">
        <v>29</v>
      </c>
      <c r="Q43">
        <f>COUNTIF($A$2:$A43,$A43)</f>
        <v>1</v>
      </c>
    </row>
    <row r="44" spans="1:17" x14ac:dyDescent="0.3">
      <c r="A44" s="1" t="s">
        <v>143</v>
      </c>
      <c r="B44">
        <v>46239</v>
      </c>
      <c r="C44" s="1" t="s">
        <v>105</v>
      </c>
      <c r="D44">
        <v>62</v>
      </c>
      <c r="E44" s="1" t="s">
        <v>18</v>
      </c>
      <c r="F44" s="1" t="s">
        <v>99</v>
      </c>
      <c r="G44" s="1" t="s">
        <v>27</v>
      </c>
      <c r="H44" s="1" t="s">
        <v>28</v>
      </c>
      <c r="I44">
        <v>4</v>
      </c>
      <c r="J44">
        <v>4117.09</v>
      </c>
      <c r="K44">
        <v>5</v>
      </c>
      <c r="L44">
        <v>15644.94</v>
      </c>
      <c r="M44" s="1" t="s">
        <v>35</v>
      </c>
      <c r="N44">
        <v>5</v>
      </c>
      <c r="O44">
        <v>7</v>
      </c>
      <c r="P44" s="1" t="s">
        <v>29</v>
      </c>
      <c r="Q44">
        <f>COUNTIF($A$2:$A44,$A44)</f>
        <v>1</v>
      </c>
    </row>
    <row r="45" spans="1:17" x14ac:dyDescent="0.3">
      <c r="A45" s="1" t="s">
        <v>144</v>
      </c>
      <c r="B45">
        <v>46238</v>
      </c>
      <c r="C45" s="1" t="s">
        <v>145</v>
      </c>
      <c r="D45">
        <v>32</v>
      </c>
      <c r="E45" s="1" t="s">
        <v>68</v>
      </c>
      <c r="F45" s="1" t="s">
        <v>26</v>
      </c>
      <c r="G45" s="1" t="s">
        <v>33</v>
      </c>
      <c r="H45" s="1" t="s">
        <v>87</v>
      </c>
      <c r="I45">
        <v>4</v>
      </c>
      <c r="J45">
        <v>363.23</v>
      </c>
      <c r="K45">
        <v>5</v>
      </c>
      <c r="L45">
        <v>1380.27</v>
      </c>
      <c r="M45" s="1" t="s">
        <v>80</v>
      </c>
      <c r="N45">
        <v>5</v>
      </c>
      <c r="P45" s="1" t="s">
        <v>29</v>
      </c>
      <c r="Q45">
        <f>COUNTIF($A$2:$A45,$A45)</f>
        <v>1</v>
      </c>
    </row>
    <row r="46" spans="1:17" x14ac:dyDescent="0.3">
      <c r="A46" s="1" t="s">
        <v>146</v>
      </c>
      <c r="B46">
        <v>46089</v>
      </c>
      <c r="C46" s="1" t="s">
        <v>147</v>
      </c>
      <c r="D46">
        <v>55</v>
      </c>
      <c r="E46" s="1" t="s">
        <v>68</v>
      </c>
      <c r="F46" s="1" t="s">
        <v>19</v>
      </c>
      <c r="G46" s="1" t="s">
        <v>40</v>
      </c>
      <c r="H46" s="1" t="s">
        <v>41</v>
      </c>
      <c r="I46">
        <v>1</v>
      </c>
      <c r="J46">
        <v>5506.24</v>
      </c>
      <c r="K46">
        <v>0</v>
      </c>
      <c r="L46">
        <v>5506.24</v>
      </c>
      <c r="M46" s="1" t="s">
        <v>80</v>
      </c>
      <c r="N46">
        <v>2</v>
      </c>
      <c r="O46">
        <v>1</v>
      </c>
      <c r="P46" s="1" t="s">
        <v>29</v>
      </c>
      <c r="Q46">
        <f>COUNTIF($A$2:$A46,$A46)</f>
        <v>1</v>
      </c>
    </row>
    <row r="47" spans="1:17" x14ac:dyDescent="0.3">
      <c r="A47" s="1" t="s">
        <v>148</v>
      </c>
      <c r="B47">
        <v>46132</v>
      </c>
      <c r="C47" s="1" t="s">
        <v>149</v>
      </c>
      <c r="D47">
        <v>39</v>
      </c>
      <c r="E47" s="1" t="s">
        <v>68</v>
      </c>
      <c r="F47" s="1" t="s">
        <v>55</v>
      </c>
      <c r="G47" s="1"/>
      <c r="H47" s="1" t="s">
        <v>150</v>
      </c>
      <c r="I47">
        <v>4</v>
      </c>
      <c r="J47">
        <v>2234.04</v>
      </c>
      <c r="K47">
        <v>0</v>
      </c>
      <c r="L47">
        <v>8936.16</v>
      </c>
      <c r="M47" s="1" t="s">
        <v>80</v>
      </c>
      <c r="N47">
        <v>1</v>
      </c>
      <c r="O47">
        <v>9</v>
      </c>
      <c r="P47" s="1" t="s">
        <v>23</v>
      </c>
      <c r="Q47">
        <f>COUNTIF($A$2:$A47,$A47)</f>
        <v>1</v>
      </c>
    </row>
    <row r="48" spans="1:17" x14ac:dyDescent="0.3">
      <c r="A48" s="1" t="s">
        <v>151</v>
      </c>
      <c r="B48">
        <v>46138</v>
      </c>
      <c r="C48" s="1" t="s">
        <v>152</v>
      </c>
      <c r="D48">
        <v>20</v>
      </c>
      <c r="E48" s="1" t="s">
        <v>18</v>
      </c>
      <c r="F48" s="1" t="s">
        <v>90</v>
      </c>
      <c r="G48" s="1" t="s">
        <v>27</v>
      </c>
      <c r="H48" s="1" t="s">
        <v>58</v>
      </c>
      <c r="I48">
        <v>2</v>
      </c>
      <c r="J48">
        <v>7152.74</v>
      </c>
      <c r="K48">
        <v>15</v>
      </c>
      <c r="L48">
        <v>12159.66</v>
      </c>
      <c r="M48" s="1" t="s">
        <v>48</v>
      </c>
      <c r="N48">
        <v>2</v>
      </c>
      <c r="O48">
        <v>3</v>
      </c>
      <c r="P48" s="1" t="s">
        <v>29</v>
      </c>
      <c r="Q48">
        <f>COUNTIF($A$2:$A48,$A48)</f>
        <v>1</v>
      </c>
    </row>
    <row r="49" spans="1:17" x14ac:dyDescent="0.3">
      <c r="A49" s="1" t="s">
        <v>153</v>
      </c>
      <c r="B49">
        <v>46135</v>
      </c>
      <c r="C49" s="1" t="s">
        <v>154</v>
      </c>
      <c r="D49">
        <v>34</v>
      </c>
      <c r="E49" s="1" t="s">
        <v>18</v>
      </c>
      <c r="F49" s="1" t="s">
        <v>55</v>
      </c>
      <c r="G49" s="1" t="s">
        <v>33</v>
      </c>
      <c r="H49" s="1" t="s">
        <v>115</v>
      </c>
      <c r="I49">
        <v>5</v>
      </c>
      <c r="J49">
        <v>5208.7299999999996</v>
      </c>
      <c r="K49">
        <v>20</v>
      </c>
      <c r="L49">
        <v>20834.919999999998</v>
      </c>
      <c r="M49" s="1" t="s">
        <v>62</v>
      </c>
      <c r="N49">
        <v>5</v>
      </c>
      <c r="O49">
        <v>3</v>
      </c>
      <c r="P49" s="1" t="s">
        <v>29</v>
      </c>
      <c r="Q49">
        <f>COUNTIF($A$2:$A49,$A49)</f>
        <v>1</v>
      </c>
    </row>
    <row r="50" spans="1:17" x14ac:dyDescent="0.3">
      <c r="A50" s="1" t="s">
        <v>155</v>
      </c>
      <c r="B50">
        <v>46037</v>
      </c>
      <c r="C50" s="1" t="s">
        <v>125</v>
      </c>
      <c r="E50" s="1" t="s">
        <v>18</v>
      </c>
      <c r="F50" s="1" t="s">
        <v>39</v>
      </c>
      <c r="G50" s="1" t="s">
        <v>72</v>
      </c>
      <c r="H50" s="1" t="s">
        <v>91</v>
      </c>
      <c r="I50">
        <v>2</v>
      </c>
      <c r="J50">
        <v>756.85</v>
      </c>
      <c r="K50">
        <v>20</v>
      </c>
      <c r="L50">
        <v>1210.96</v>
      </c>
      <c r="M50" s="1" t="s">
        <v>48</v>
      </c>
      <c r="N50">
        <v>1</v>
      </c>
      <c r="O50">
        <v>5</v>
      </c>
      <c r="P50" s="1" t="s">
        <v>29</v>
      </c>
      <c r="Q50">
        <f>COUNTIF($A$2:$A50,$A50)</f>
        <v>1</v>
      </c>
    </row>
    <row r="51" spans="1:17" x14ac:dyDescent="0.3">
      <c r="A51" s="1" t="s">
        <v>156</v>
      </c>
      <c r="B51">
        <v>46085</v>
      </c>
      <c r="C51" s="1" t="s">
        <v>154</v>
      </c>
      <c r="D51">
        <v>52</v>
      </c>
      <c r="E51" s="1" t="s">
        <v>68</v>
      </c>
      <c r="F51" s="1" t="s">
        <v>19</v>
      </c>
      <c r="G51" s="1" t="s">
        <v>72</v>
      </c>
      <c r="H51" s="1" t="s">
        <v>150</v>
      </c>
      <c r="I51">
        <v>1</v>
      </c>
      <c r="J51">
        <v>4359.95</v>
      </c>
      <c r="K51">
        <v>5</v>
      </c>
      <c r="L51">
        <v>4141.95</v>
      </c>
      <c r="M51" s="1" t="s">
        <v>62</v>
      </c>
      <c r="N51">
        <v>5</v>
      </c>
      <c r="O51">
        <v>7</v>
      </c>
      <c r="P51" s="1" t="s">
        <v>29</v>
      </c>
      <c r="Q51">
        <f>COUNTIF($A$2:$A51,$A51)</f>
        <v>1</v>
      </c>
    </row>
    <row r="52" spans="1:17" x14ac:dyDescent="0.3">
      <c r="A52" s="1" t="s">
        <v>157</v>
      </c>
      <c r="B52">
        <v>46245</v>
      </c>
      <c r="C52" s="1" t="s">
        <v>57</v>
      </c>
      <c r="D52">
        <v>47</v>
      </c>
      <c r="E52" s="1" t="s">
        <v>18</v>
      </c>
      <c r="F52" s="1" t="s">
        <v>51</v>
      </c>
      <c r="G52" s="1" t="s">
        <v>46</v>
      </c>
      <c r="H52" s="1" t="s">
        <v>122</v>
      </c>
      <c r="I52">
        <v>4</v>
      </c>
      <c r="J52">
        <v>1596.03</v>
      </c>
      <c r="K52">
        <v>15</v>
      </c>
      <c r="L52">
        <v>5426.5</v>
      </c>
      <c r="M52" s="1" t="s">
        <v>35</v>
      </c>
      <c r="N52">
        <v>4</v>
      </c>
      <c r="O52">
        <v>9</v>
      </c>
      <c r="P52" s="1" t="s">
        <v>29</v>
      </c>
      <c r="Q52">
        <f>COUNTIF($A$2:$A52,$A52)</f>
        <v>1</v>
      </c>
    </row>
    <row r="53" spans="1:17" x14ac:dyDescent="0.3">
      <c r="A53" s="1" t="s">
        <v>158</v>
      </c>
      <c r="B53">
        <v>46247</v>
      </c>
      <c r="C53" s="1" t="s">
        <v>50</v>
      </c>
      <c r="D53">
        <v>33</v>
      </c>
      <c r="E53" s="1" t="s">
        <v>68</v>
      </c>
      <c r="F53" s="1" t="s">
        <v>39</v>
      </c>
      <c r="G53" s="1" t="s">
        <v>27</v>
      </c>
      <c r="H53" s="1" t="s">
        <v>52</v>
      </c>
      <c r="I53">
        <v>4</v>
      </c>
      <c r="J53">
        <v>2163.58</v>
      </c>
      <c r="K53">
        <v>10</v>
      </c>
      <c r="L53">
        <v>7788.89</v>
      </c>
      <c r="M53" s="1" t="s">
        <v>22</v>
      </c>
      <c r="N53">
        <v>4</v>
      </c>
      <c r="O53">
        <v>7</v>
      </c>
      <c r="P53" s="1" t="s">
        <v>29</v>
      </c>
      <c r="Q53">
        <f>COUNTIF($A$2:$A53,$A53)</f>
        <v>1</v>
      </c>
    </row>
    <row r="54" spans="1:17" x14ac:dyDescent="0.3">
      <c r="A54" s="1" t="s">
        <v>159</v>
      </c>
      <c r="B54">
        <v>46190</v>
      </c>
      <c r="C54" s="1" t="s">
        <v>82</v>
      </c>
      <c r="D54">
        <v>31</v>
      </c>
      <c r="E54" s="1" t="s">
        <v>68</v>
      </c>
      <c r="F54" s="1" t="s">
        <v>32</v>
      </c>
      <c r="G54" s="1" t="s">
        <v>33</v>
      </c>
      <c r="H54" s="1" t="s">
        <v>34</v>
      </c>
      <c r="I54">
        <v>3</v>
      </c>
      <c r="J54">
        <v>2463.54</v>
      </c>
      <c r="K54">
        <v>15</v>
      </c>
      <c r="L54">
        <v>6282.03</v>
      </c>
      <c r="M54" s="1" t="s">
        <v>109</v>
      </c>
      <c r="N54">
        <v>4</v>
      </c>
      <c r="O54">
        <v>1</v>
      </c>
      <c r="P54" s="1" t="s">
        <v>29</v>
      </c>
      <c r="Q54">
        <f>COUNTIF($A$2:$A54,$A54)</f>
        <v>1</v>
      </c>
    </row>
    <row r="55" spans="1:17" x14ac:dyDescent="0.3">
      <c r="A55" s="1" t="s">
        <v>160</v>
      </c>
      <c r="B55">
        <v>46067</v>
      </c>
      <c r="C55" s="1" t="s">
        <v>121</v>
      </c>
      <c r="D55">
        <v>44</v>
      </c>
      <c r="E55" s="1" t="s">
        <v>18</v>
      </c>
      <c r="F55" s="1" t="s">
        <v>26</v>
      </c>
      <c r="G55" s="1" t="s">
        <v>72</v>
      </c>
      <c r="H55" s="1" t="s">
        <v>73</v>
      </c>
      <c r="I55">
        <v>2</v>
      </c>
      <c r="J55">
        <v>5907.31</v>
      </c>
      <c r="K55">
        <v>20</v>
      </c>
      <c r="L55">
        <v>9451.7000000000007</v>
      </c>
      <c r="M55" s="1" t="s">
        <v>80</v>
      </c>
      <c r="N55">
        <v>4</v>
      </c>
      <c r="O55">
        <v>1</v>
      </c>
      <c r="P55" s="1" t="s">
        <v>23</v>
      </c>
      <c r="Q55">
        <f>COUNTIF($A$2:$A55,$A55)</f>
        <v>1</v>
      </c>
    </row>
    <row r="56" spans="1:17" x14ac:dyDescent="0.3">
      <c r="A56" s="1" t="s">
        <v>161</v>
      </c>
      <c r="B56">
        <v>46231</v>
      </c>
      <c r="C56" s="1" t="s">
        <v>162</v>
      </c>
      <c r="D56">
        <v>60</v>
      </c>
      <c r="E56" s="1" t="s">
        <v>68</v>
      </c>
      <c r="F56" s="1" t="s">
        <v>26</v>
      </c>
      <c r="G56" s="1" t="s">
        <v>40</v>
      </c>
      <c r="H56" s="1" t="s">
        <v>106</v>
      </c>
      <c r="I56">
        <v>4</v>
      </c>
      <c r="J56">
        <v>4758.1000000000004</v>
      </c>
      <c r="K56">
        <v>5</v>
      </c>
      <c r="L56">
        <v>18080.78</v>
      </c>
      <c r="M56" s="1" t="s">
        <v>80</v>
      </c>
      <c r="N56">
        <v>5</v>
      </c>
      <c r="O56">
        <v>9</v>
      </c>
      <c r="P56" s="1" t="s">
        <v>29</v>
      </c>
      <c r="Q56">
        <f>COUNTIF($A$2:$A56,$A56)</f>
        <v>1</v>
      </c>
    </row>
    <row r="57" spans="1:17" x14ac:dyDescent="0.3">
      <c r="A57" s="1" t="s">
        <v>163</v>
      </c>
      <c r="B57">
        <v>46256</v>
      </c>
      <c r="C57" s="1" t="s">
        <v>164</v>
      </c>
      <c r="D57">
        <v>34</v>
      </c>
      <c r="E57" s="1" t="s">
        <v>68</v>
      </c>
      <c r="F57" s="1" t="s">
        <v>39</v>
      </c>
      <c r="G57" s="1" t="s">
        <v>20</v>
      </c>
      <c r="H57" s="1" t="s">
        <v>165</v>
      </c>
      <c r="I57">
        <v>2</v>
      </c>
      <c r="J57">
        <v>2764.29</v>
      </c>
      <c r="K57">
        <v>20</v>
      </c>
      <c r="L57">
        <v>4422.8599999999997</v>
      </c>
      <c r="M57" s="1" t="s">
        <v>22</v>
      </c>
      <c r="N57">
        <v>5</v>
      </c>
      <c r="O57">
        <v>3</v>
      </c>
      <c r="P57" s="1" t="s">
        <v>29</v>
      </c>
      <c r="Q57">
        <f>COUNTIF($A$2:$A57,$A57)</f>
        <v>1</v>
      </c>
    </row>
    <row r="58" spans="1:17" x14ac:dyDescent="0.3">
      <c r="A58" s="1" t="s">
        <v>166</v>
      </c>
      <c r="B58">
        <v>46271</v>
      </c>
      <c r="C58" s="1" t="s">
        <v>129</v>
      </c>
      <c r="D58">
        <v>55</v>
      </c>
      <c r="E58" s="1" t="s">
        <v>18</v>
      </c>
      <c r="F58" s="1" t="s">
        <v>39</v>
      </c>
      <c r="G58" s="1" t="s">
        <v>40</v>
      </c>
      <c r="H58" s="1" t="s">
        <v>96</v>
      </c>
      <c r="I58">
        <v>3</v>
      </c>
      <c r="J58">
        <v>8336.68</v>
      </c>
      <c r="K58">
        <v>25</v>
      </c>
      <c r="L58">
        <v>18757.53</v>
      </c>
      <c r="M58" s="1" t="s">
        <v>48</v>
      </c>
      <c r="N58">
        <v>3</v>
      </c>
      <c r="O58">
        <v>4</v>
      </c>
      <c r="P58" s="1" t="s">
        <v>29</v>
      </c>
      <c r="Q58">
        <f>COUNTIF($A$2:$A58,$A58)</f>
        <v>1</v>
      </c>
    </row>
    <row r="59" spans="1:17" x14ac:dyDescent="0.3">
      <c r="A59" s="1" t="s">
        <v>167</v>
      </c>
      <c r="B59">
        <v>46031</v>
      </c>
      <c r="C59" s="1" t="s">
        <v>168</v>
      </c>
      <c r="D59">
        <v>20</v>
      </c>
      <c r="E59" s="1" t="s">
        <v>68</v>
      </c>
      <c r="F59" s="1" t="s">
        <v>32</v>
      </c>
      <c r="G59" s="1" t="s">
        <v>27</v>
      </c>
      <c r="H59" s="1" t="s">
        <v>28</v>
      </c>
      <c r="I59">
        <v>3</v>
      </c>
      <c r="J59">
        <v>5964.36</v>
      </c>
      <c r="K59">
        <v>0</v>
      </c>
      <c r="L59">
        <v>17893.080000000002</v>
      </c>
      <c r="M59" s="1" t="s">
        <v>80</v>
      </c>
      <c r="N59">
        <v>1</v>
      </c>
      <c r="O59">
        <v>1</v>
      </c>
      <c r="P59" s="1" t="s">
        <v>29</v>
      </c>
      <c r="Q59">
        <f>COUNTIF($A$2:$A59,$A59)</f>
        <v>1</v>
      </c>
    </row>
    <row r="60" spans="1:17" x14ac:dyDescent="0.3">
      <c r="A60" s="1" t="s">
        <v>169</v>
      </c>
      <c r="B60">
        <v>46269</v>
      </c>
      <c r="C60" s="1" t="s">
        <v>170</v>
      </c>
      <c r="D60">
        <v>29</v>
      </c>
      <c r="E60" s="1" t="s">
        <v>68</v>
      </c>
      <c r="F60" s="1" t="s">
        <v>55</v>
      </c>
      <c r="G60" s="1" t="s">
        <v>27</v>
      </c>
      <c r="H60" s="1" t="s">
        <v>52</v>
      </c>
      <c r="I60">
        <v>4</v>
      </c>
      <c r="J60">
        <v>1076.05</v>
      </c>
      <c r="K60">
        <v>0</v>
      </c>
      <c r="L60">
        <v>4304.2</v>
      </c>
      <c r="M60" s="1" t="s">
        <v>80</v>
      </c>
      <c r="N60">
        <v>4</v>
      </c>
      <c r="O60">
        <v>2</v>
      </c>
      <c r="P60" s="1" t="s">
        <v>29</v>
      </c>
      <c r="Q60">
        <f>COUNTIF($A$2:$A60,$A60)</f>
        <v>1</v>
      </c>
    </row>
    <row r="61" spans="1:17" x14ac:dyDescent="0.3">
      <c r="A61" s="1" t="s">
        <v>171</v>
      </c>
      <c r="B61">
        <v>46051</v>
      </c>
      <c r="C61" s="1" t="s">
        <v>172</v>
      </c>
      <c r="D61">
        <v>54</v>
      </c>
      <c r="E61" s="1"/>
      <c r="F61" s="1" t="s">
        <v>32</v>
      </c>
      <c r="G61" s="1" t="s">
        <v>33</v>
      </c>
      <c r="H61" s="1" t="s">
        <v>43</v>
      </c>
      <c r="I61">
        <v>2</v>
      </c>
      <c r="J61">
        <v>1112.6199999999999</v>
      </c>
      <c r="K61">
        <v>25</v>
      </c>
      <c r="L61">
        <v>1668.93</v>
      </c>
      <c r="M61" s="1" t="s">
        <v>80</v>
      </c>
      <c r="N61">
        <v>4</v>
      </c>
      <c r="O61">
        <v>4</v>
      </c>
      <c r="P61" s="1" t="s">
        <v>29</v>
      </c>
      <c r="Q61">
        <f>COUNTIF($A$2:$A61,$A61)</f>
        <v>1</v>
      </c>
    </row>
    <row r="62" spans="1:17" x14ac:dyDescent="0.3">
      <c r="A62" s="1" t="s">
        <v>173</v>
      </c>
      <c r="B62">
        <v>46254</v>
      </c>
      <c r="C62" s="1" t="s">
        <v>98</v>
      </c>
      <c r="D62">
        <v>55</v>
      </c>
      <c r="E62" s="1" t="s">
        <v>68</v>
      </c>
      <c r="F62" s="1" t="s">
        <v>55</v>
      </c>
      <c r="G62" s="1" t="s">
        <v>72</v>
      </c>
      <c r="H62" s="1" t="s">
        <v>150</v>
      </c>
      <c r="I62">
        <v>5</v>
      </c>
      <c r="J62">
        <v>5324.21</v>
      </c>
      <c r="K62">
        <v>15</v>
      </c>
      <c r="L62">
        <v>22627.89</v>
      </c>
      <c r="M62" s="1" t="s">
        <v>62</v>
      </c>
      <c r="N62">
        <v>5</v>
      </c>
      <c r="O62">
        <v>4</v>
      </c>
      <c r="P62" s="1" t="s">
        <v>29</v>
      </c>
      <c r="Q62">
        <f>COUNTIF($A$2:$A62,$A62)</f>
        <v>1</v>
      </c>
    </row>
    <row r="63" spans="1:17" x14ac:dyDescent="0.3">
      <c r="A63" s="1" t="s">
        <v>174</v>
      </c>
      <c r="B63">
        <v>46065</v>
      </c>
      <c r="C63" s="1" t="s">
        <v>175</v>
      </c>
      <c r="D63">
        <v>29</v>
      </c>
      <c r="E63" s="1" t="s">
        <v>38</v>
      </c>
      <c r="F63" s="1" t="s">
        <v>32</v>
      </c>
      <c r="G63" s="1" t="s">
        <v>40</v>
      </c>
      <c r="H63" s="1" t="s">
        <v>41</v>
      </c>
      <c r="I63">
        <v>2</v>
      </c>
      <c r="J63">
        <v>142.41999999999999</v>
      </c>
      <c r="K63">
        <v>10</v>
      </c>
      <c r="L63">
        <v>256.36</v>
      </c>
      <c r="M63" s="1" t="s">
        <v>22</v>
      </c>
      <c r="O63">
        <v>5</v>
      </c>
      <c r="P63" s="1" t="s">
        <v>23</v>
      </c>
      <c r="Q63">
        <f>COUNTIF($A$2:$A63,$A63)</f>
        <v>1</v>
      </c>
    </row>
    <row r="64" spans="1:17" x14ac:dyDescent="0.3">
      <c r="A64" s="1" t="s">
        <v>176</v>
      </c>
      <c r="B64">
        <v>46168</v>
      </c>
      <c r="C64" s="1" t="s">
        <v>177</v>
      </c>
      <c r="D64">
        <v>61</v>
      </c>
      <c r="E64" s="1" t="s">
        <v>38</v>
      </c>
      <c r="F64" s="1" t="s">
        <v>55</v>
      </c>
      <c r="G64" s="1" t="s">
        <v>20</v>
      </c>
      <c r="H64" s="1" t="s">
        <v>178</v>
      </c>
      <c r="I64">
        <v>5</v>
      </c>
      <c r="J64">
        <v>5660.71</v>
      </c>
      <c r="K64">
        <v>0</v>
      </c>
      <c r="L64">
        <v>28303.55</v>
      </c>
      <c r="M64" s="1" t="s">
        <v>80</v>
      </c>
      <c r="N64">
        <v>1</v>
      </c>
      <c r="O64">
        <v>9</v>
      </c>
      <c r="P64" s="1" t="s">
        <v>29</v>
      </c>
      <c r="Q64">
        <f>COUNTIF($A$2:$A64,$A64)</f>
        <v>1</v>
      </c>
    </row>
    <row r="65" spans="1:17" x14ac:dyDescent="0.3">
      <c r="A65" s="1" t="s">
        <v>179</v>
      </c>
      <c r="B65">
        <v>46160</v>
      </c>
      <c r="C65" s="1" t="s">
        <v>129</v>
      </c>
      <c r="D65">
        <v>21</v>
      </c>
      <c r="E65" s="1" t="s">
        <v>38</v>
      </c>
      <c r="F65" s="1" t="s">
        <v>32</v>
      </c>
      <c r="G65" s="1" t="s">
        <v>20</v>
      </c>
      <c r="H65" s="1" t="s">
        <v>178</v>
      </c>
      <c r="I65">
        <v>5</v>
      </c>
      <c r="J65">
        <v>6396.27</v>
      </c>
      <c r="K65">
        <v>15</v>
      </c>
      <c r="L65">
        <v>27184.15</v>
      </c>
      <c r="M65" s="1" t="s">
        <v>35</v>
      </c>
      <c r="N65">
        <v>4</v>
      </c>
      <c r="O65">
        <v>2</v>
      </c>
      <c r="P65" s="1" t="s">
        <v>29</v>
      </c>
      <c r="Q65">
        <f>COUNTIF($A$2:$A65,$A65)</f>
        <v>1</v>
      </c>
    </row>
    <row r="66" spans="1:17" x14ac:dyDescent="0.3">
      <c r="A66" s="1" t="s">
        <v>94</v>
      </c>
      <c r="B66">
        <v>46053</v>
      </c>
      <c r="C66" s="1" t="s">
        <v>95</v>
      </c>
      <c r="D66">
        <v>48</v>
      </c>
      <c r="E66" s="1" t="s">
        <v>18</v>
      </c>
      <c r="F66" s="1" t="s">
        <v>19</v>
      </c>
      <c r="G66" s="1" t="s">
        <v>40</v>
      </c>
      <c r="H66" s="1" t="s">
        <v>96</v>
      </c>
      <c r="I66">
        <v>2</v>
      </c>
      <c r="J66">
        <v>596.65</v>
      </c>
      <c r="K66">
        <v>15</v>
      </c>
      <c r="L66">
        <v>1014.3</v>
      </c>
      <c r="M66" s="1" t="s">
        <v>62</v>
      </c>
      <c r="N66">
        <v>5</v>
      </c>
      <c r="P66" s="1" t="s">
        <v>23</v>
      </c>
      <c r="Q66">
        <f>COUNTIF($A$2:$A66,$A66)</f>
        <v>2</v>
      </c>
    </row>
    <row r="67" spans="1:17" x14ac:dyDescent="0.3">
      <c r="A67" s="1" t="s">
        <v>180</v>
      </c>
      <c r="B67">
        <v>46034</v>
      </c>
      <c r="C67" s="1" t="s">
        <v>181</v>
      </c>
      <c r="D67">
        <v>20</v>
      </c>
      <c r="E67" s="1" t="s">
        <v>18</v>
      </c>
      <c r="F67" s="1" t="s">
        <v>39</v>
      </c>
      <c r="G67" s="1" t="s">
        <v>20</v>
      </c>
      <c r="H67" s="1" t="s">
        <v>132</v>
      </c>
      <c r="I67">
        <v>5</v>
      </c>
      <c r="J67">
        <v>5579.65</v>
      </c>
      <c r="K67">
        <v>5</v>
      </c>
      <c r="L67">
        <v>26503.34</v>
      </c>
      <c r="M67" s="1" t="s">
        <v>48</v>
      </c>
      <c r="N67">
        <v>4</v>
      </c>
      <c r="O67">
        <v>7</v>
      </c>
      <c r="P67" s="1" t="s">
        <v>29</v>
      </c>
      <c r="Q67">
        <f>COUNTIF($A$2:$A67,$A67)</f>
        <v>1</v>
      </c>
    </row>
    <row r="68" spans="1:17" x14ac:dyDescent="0.3">
      <c r="A68" s="1" t="s">
        <v>182</v>
      </c>
      <c r="B68">
        <v>46070</v>
      </c>
      <c r="C68" s="1" t="s">
        <v>183</v>
      </c>
      <c r="D68">
        <v>44</v>
      </c>
      <c r="E68" s="1" t="s">
        <v>68</v>
      </c>
      <c r="F68" s="1" t="s">
        <v>55</v>
      </c>
      <c r="G68" s="1" t="s">
        <v>33</v>
      </c>
      <c r="H68" s="1" t="s">
        <v>34</v>
      </c>
      <c r="I68">
        <v>1</v>
      </c>
      <c r="K68">
        <v>5</v>
      </c>
      <c r="M68" s="1" t="s">
        <v>80</v>
      </c>
      <c r="N68">
        <v>5</v>
      </c>
      <c r="O68">
        <v>8</v>
      </c>
      <c r="P68" s="1" t="s">
        <v>29</v>
      </c>
      <c r="Q68">
        <f>COUNTIF($A$2:$A68,$A68)</f>
        <v>1</v>
      </c>
    </row>
    <row r="69" spans="1:17" x14ac:dyDescent="0.3">
      <c r="A69" s="1" t="s">
        <v>184</v>
      </c>
      <c r="B69">
        <v>46042</v>
      </c>
      <c r="C69" s="1" t="s">
        <v>185</v>
      </c>
      <c r="D69">
        <v>38</v>
      </c>
      <c r="E69" s="1" t="s">
        <v>38</v>
      </c>
      <c r="F69" s="1" t="s">
        <v>71</v>
      </c>
      <c r="G69" s="1" t="s">
        <v>33</v>
      </c>
      <c r="H69" s="1" t="s">
        <v>34</v>
      </c>
      <c r="I69">
        <v>1</v>
      </c>
      <c r="J69">
        <v>8250.15</v>
      </c>
      <c r="K69">
        <v>10</v>
      </c>
      <c r="L69">
        <v>7425.14</v>
      </c>
      <c r="M69" s="1" t="s">
        <v>22</v>
      </c>
      <c r="N69">
        <v>5</v>
      </c>
      <c r="O69">
        <v>1</v>
      </c>
      <c r="P69" s="1" t="s">
        <v>29</v>
      </c>
      <c r="Q69">
        <f>COUNTIF($A$2:$A69,$A69)</f>
        <v>1</v>
      </c>
    </row>
    <row r="70" spans="1:17" x14ac:dyDescent="0.3">
      <c r="A70" s="1" t="s">
        <v>186</v>
      </c>
      <c r="B70">
        <v>46260</v>
      </c>
      <c r="C70" s="1" t="s">
        <v>187</v>
      </c>
      <c r="D70">
        <v>30</v>
      </c>
      <c r="E70" s="1" t="s">
        <v>38</v>
      </c>
      <c r="F70" s="1" t="s">
        <v>99</v>
      </c>
      <c r="G70" s="1" t="s">
        <v>40</v>
      </c>
      <c r="H70" s="1" t="s">
        <v>106</v>
      </c>
      <c r="I70">
        <v>5</v>
      </c>
      <c r="J70">
        <v>6458.99</v>
      </c>
      <c r="K70">
        <v>20</v>
      </c>
      <c r="L70">
        <v>25835.96</v>
      </c>
      <c r="M70" s="1" t="s">
        <v>80</v>
      </c>
      <c r="N70">
        <v>5</v>
      </c>
      <c r="O70">
        <v>1</v>
      </c>
      <c r="P70" s="1"/>
      <c r="Q70">
        <f>COUNTIF($A$2:$A70,$A70)</f>
        <v>1</v>
      </c>
    </row>
    <row r="71" spans="1:17" x14ac:dyDescent="0.3">
      <c r="A71" s="1" t="s">
        <v>188</v>
      </c>
      <c r="B71">
        <v>46091</v>
      </c>
      <c r="C71" s="1" t="s">
        <v>189</v>
      </c>
      <c r="D71">
        <v>62</v>
      </c>
      <c r="E71" s="1" t="s">
        <v>68</v>
      </c>
      <c r="F71" s="1" t="s">
        <v>39</v>
      </c>
      <c r="G71" s="1" t="s">
        <v>72</v>
      </c>
      <c r="H71" s="1" t="s">
        <v>83</v>
      </c>
      <c r="I71">
        <v>1</v>
      </c>
      <c r="J71">
        <v>8274.9699999999993</v>
      </c>
      <c r="K71">
        <v>15</v>
      </c>
      <c r="L71">
        <v>7033.72</v>
      </c>
      <c r="M71" s="1" t="s">
        <v>48</v>
      </c>
      <c r="N71">
        <v>5</v>
      </c>
      <c r="O71">
        <v>3</v>
      </c>
      <c r="P71" s="1" t="s">
        <v>29</v>
      </c>
      <c r="Q71">
        <f>COUNTIF($A$2:$A71,$A71)</f>
        <v>1</v>
      </c>
    </row>
    <row r="72" spans="1:17" x14ac:dyDescent="0.3">
      <c r="A72" s="1" t="s">
        <v>190</v>
      </c>
      <c r="B72">
        <v>46232</v>
      </c>
      <c r="C72" s="1" t="s">
        <v>191</v>
      </c>
      <c r="D72">
        <v>25</v>
      </c>
      <c r="E72" s="1" t="s">
        <v>38</v>
      </c>
      <c r="F72" s="1" t="s">
        <v>90</v>
      </c>
      <c r="G72" s="1" t="s">
        <v>72</v>
      </c>
      <c r="H72" s="1" t="s">
        <v>83</v>
      </c>
      <c r="I72">
        <v>2</v>
      </c>
      <c r="J72">
        <v>4296.3900000000003</v>
      </c>
      <c r="K72">
        <v>20</v>
      </c>
      <c r="L72">
        <v>6874.22</v>
      </c>
      <c r="M72" s="1" t="s">
        <v>35</v>
      </c>
      <c r="N72">
        <v>4</v>
      </c>
      <c r="O72">
        <v>5</v>
      </c>
      <c r="P72" s="1" t="s">
        <v>29</v>
      </c>
      <c r="Q72">
        <f>COUNTIF($A$2:$A72,$A72)</f>
        <v>1</v>
      </c>
    </row>
    <row r="73" spans="1:17" x14ac:dyDescent="0.3">
      <c r="A73" s="1" t="s">
        <v>192</v>
      </c>
      <c r="B73">
        <v>46265</v>
      </c>
      <c r="C73" s="1" t="s">
        <v>193</v>
      </c>
      <c r="E73" s="1" t="s">
        <v>68</v>
      </c>
      <c r="F73" s="1" t="s">
        <v>26</v>
      </c>
      <c r="G73" s="1" t="s">
        <v>20</v>
      </c>
      <c r="H73" s="1" t="s">
        <v>132</v>
      </c>
      <c r="I73">
        <v>2</v>
      </c>
      <c r="J73">
        <v>7845.26</v>
      </c>
      <c r="K73">
        <v>15</v>
      </c>
      <c r="L73">
        <v>13336.94</v>
      </c>
      <c r="M73" s="1" t="s">
        <v>48</v>
      </c>
      <c r="N73">
        <v>5</v>
      </c>
      <c r="O73">
        <v>2</v>
      </c>
      <c r="P73" s="1" t="s">
        <v>29</v>
      </c>
      <c r="Q73">
        <f>COUNTIF($A$2:$A73,$A73)</f>
        <v>1</v>
      </c>
    </row>
    <row r="74" spans="1:17" x14ac:dyDescent="0.3">
      <c r="A74" s="1" t="s">
        <v>194</v>
      </c>
      <c r="B74">
        <v>46236</v>
      </c>
      <c r="C74" s="1" t="s">
        <v>191</v>
      </c>
      <c r="D74">
        <v>35</v>
      </c>
      <c r="E74" s="1" t="s">
        <v>18</v>
      </c>
      <c r="F74" s="1" t="s">
        <v>51</v>
      </c>
      <c r="G74" s="1" t="s">
        <v>27</v>
      </c>
      <c r="H74" s="1" t="s">
        <v>52</v>
      </c>
      <c r="I74">
        <v>3</v>
      </c>
      <c r="J74">
        <v>7138.05</v>
      </c>
      <c r="K74">
        <v>15</v>
      </c>
      <c r="L74">
        <v>18202.03</v>
      </c>
      <c r="M74" s="1" t="s">
        <v>80</v>
      </c>
      <c r="N74">
        <v>5</v>
      </c>
      <c r="O74">
        <v>3</v>
      </c>
      <c r="P74" s="1" t="s">
        <v>29</v>
      </c>
      <c r="Q74">
        <f>COUNTIF($A$2:$A74,$A74)</f>
        <v>1</v>
      </c>
    </row>
    <row r="75" spans="1:17" x14ac:dyDescent="0.3">
      <c r="A75" s="1" t="s">
        <v>195</v>
      </c>
      <c r="B75">
        <v>46200</v>
      </c>
      <c r="C75" s="1" t="s">
        <v>64</v>
      </c>
      <c r="D75">
        <v>52</v>
      </c>
      <c r="E75" s="1" t="s">
        <v>18</v>
      </c>
      <c r="F75" s="1" t="s">
        <v>51</v>
      </c>
      <c r="G75" s="1" t="s">
        <v>72</v>
      </c>
      <c r="H75" s="1" t="s">
        <v>91</v>
      </c>
      <c r="I75">
        <v>3</v>
      </c>
      <c r="J75">
        <v>7407.26</v>
      </c>
      <c r="K75" t="s">
        <v>84</v>
      </c>
      <c r="M75" s="1" t="s">
        <v>48</v>
      </c>
      <c r="N75">
        <v>4</v>
      </c>
      <c r="O75">
        <v>7</v>
      </c>
      <c r="P75" s="1" t="s">
        <v>29</v>
      </c>
      <c r="Q75">
        <f>COUNTIF($A$2:$A75,$A75)</f>
        <v>1</v>
      </c>
    </row>
    <row r="76" spans="1:17" x14ac:dyDescent="0.3">
      <c r="A76" s="1" t="s">
        <v>196</v>
      </c>
      <c r="B76">
        <v>46234</v>
      </c>
      <c r="C76" s="1" t="s">
        <v>197</v>
      </c>
      <c r="D76">
        <v>48</v>
      </c>
      <c r="E76" s="1" t="s">
        <v>68</v>
      </c>
      <c r="F76" s="1" t="s">
        <v>19</v>
      </c>
      <c r="G76" s="1" t="s">
        <v>46</v>
      </c>
      <c r="H76" s="1" t="s">
        <v>198</v>
      </c>
      <c r="I76">
        <v>4</v>
      </c>
      <c r="J76">
        <v>8402.91</v>
      </c>
      <c r="K76">
        <v>25</v>
      </c>
      <c r="L76">
        <v>25208.73</v>
      </c>
      <c r="M76" s="1" t="s">
        <v>48</v>
      </c>
      <c r="N76">
        <v>4</v>
      </c>
      <c r="O76">
        <v>1</v>
      </c>
      <c r="P76" s="1" t="s">
        <v>23</v>
      </c>
      <c r="Q76">
        <f>COUNTIF($A$2:$A76,$A76)</f>
        <v>1</v>
      </c>
    </row>
    <row r="77" spans="1:17" x14ac:dyDescent="0.3">
      <c r="A77" s="1" t="s">
        <v>199</v>
      </c>
      <c r="B77">
        <v>46193</v>
      </c>
      <c r="C77" s="1" t="s">
        <v>98</v>
      </c>
      <c r="D77">
        <v>24</v>
      </c>
      <c r="E77" s="1" t="s">
        <v>68</v>
      </c>
      <c r="F77" s="1" t="s">
        <v>90</v>
      </c>
      <c r="G77" s="1" t="s">
        <v>40</v>
      </c>
      <c r="H77" s="1" t="s">
        <v>200</v>
      </c>
      <c r="I77">
        <v>1</v>
      </c>
      <c r="J77">
        <v>6174.08</v>
      </c>
      <c r="K77">
        <v>10</v>
      </c>
      <c r="L77">
        <v>5556.67</v>
      </c>
      <c r="M77" s="1" t="s">
        <v>48</v>
      </c>
      <c r="N77">
        <v>1</v>
      </c>
      <c r="O77">
        <v>8</v>
      </c>
      <c r="P77" s="1" t="s">
        <v>29</v>
      </c>
      <c r="Q77">
        <f>COUNTIF($A$2:$A77,$A77)</f>
        <v>1</v>
      </c>
    </row>
    <row r="78" spans="1:17" x14ac:dyDescent="0.3">
      <c r="A78" s="1" t="s">
        <v>201</v>
      </c>
      <c r="B78">
        <v>46197</v>
      </c>
      <c r="C78" s="1" t="s">
        <v>95</v>
      </c>
      <c r="D78">
        <v>23</v>
      </c>
      <c r="E78" s="1" t="s">
        <v>18</v>
      </c>
      <c r="F78" s="1" t="s">
        <v>99</v>
      </c>
      <c r="G78" s="1" t="s">
        <v>33</v>
      </c>
      <c r="H78" s="1" t="s">
        <v>112</v>
      </c>
      <c r="I78">
        <v>4</v>
      </c>
      <c r="J78">
        <v>8115.69</v>
      </c>
      <c r="K78">
        <v>20</v>
      </c>
      <c r="L78">
        <v>25970.21</v>
      </c>
      <c r="M78" s="1" t="s">
        <v>80</v>
      </c>
      <c r="N78">
        <v>5</v>
      </c>
      <c r="O78">
        <v>9</v>
      </c>
      <c r="P78" s="1" t="s">
        <v>23</v>
      </c>
      <c r="Q78">
        <f>COUNTIF($A$2:$A78,$A78)</f>
        <v>1</v>
      </c>
    </row>
    <row r="79" spans="1:17" x14ac:dyDescent="0.3">
      <c r="A79" s="1" t="s">
        <v>202</v>
      </c>
      <c r="B79">
        <v>46144</v>
      </c>
      <c r="C79" s="1" t="s">
        <v>203</v>
      </c>
      <c r="D79">
        <v>23</v>
      </c>
      <c r="E79" s="1" t="s">
        <v>38</v>
      </c>
      <c r="F79" s="1" t="s">
        <v>39</v>
      </c>
      <c r="G79" s="1"/>
      <c r="H79" s="1" t="s">
        <v>83</v>
      </c>
      <c r="I79">
        <v>1</v>
      </c>
      <c r="J79">
        <v>3838.03</v>
      </c>
      <c r="K79">
        <v>20</v>
      </c>
      <c r="L79">
        <v>3070.42</v>
      </c>
      <c r="M79" s="1" t="s">
        <v>35</v>
      </c>
      <c r="N79">
        <v>1</v>
      </c>
      <c r="O79">
        <v>1</v>
      </c>
      <c r="P79" s="1" t="s">
        <v>29</v>
      </c>
      <c r="Q79">
        <f>COUNTIF($A$2:$A79,$A79)</f>
        <v>1</v>
      </c>
    </row>
    <row r="80" spans="1:17" x14ac:dyDescent="0.3">
      <c r="A80" s="1" t="s">
        <v>204</v>
      </c>
      <c r="B80">
        <v>46174</v>
      </c>
      <c r="C80" s="1" t="s">
        <v>205</v>
      </c>
      <c r="D80">
        <v>45</v>
      </c>
      <c r="E80" s="1" t="s">
        <v>68</v>
      </c>
      <c r="F80" s="1" t="s">
        <v>51</v>
      </c>
      <c r="G80" s="1" t="s">
        <v>20</v>
      </c>
      <c r="H80" s="1" t="s">
        <v>21</v>
      </c>
      <c r="I80">
        <v>5</v>
      </c>
      <c r="J80">
        <v>3572.99</v>
      </c>
      <c r="K80">
        <v>20</v>
      </c>
      <c r="L80">
        <v>14291.96</v>
      </c>
      <c r="M80" s="1" t="s">
        <v>48</v>
      </c>
      <c r="N80">
        <v>2</v>
      </c>
      <c r="O80">
        <v>3</v>
      </c>
      <c r="P80" s="1" t="s">
        <v>23</v>
      </c>
      <c r="Q80">
        <f>COUNTIF($A$2:$A80,$A80)</f>
        <v>1</v>
      </c>
    </row>
    <row r="81" spans="1:17" x14ac:dyDescent="0.3">
      <c r="A81" s="1" t="s">
        <v>206</v>
      </c>
      <c r="B81">
        <v>46219</v>
      </c>
      <c r="C81" s="1" t="s">
        <v>57</v>
      </c>
      <c r="D81">
        <v>55</v>
      </c>
      <c r="E81" s="1" t="s">
        <v>68</v>
      </c>
      <c r="F81" s="1" t="s">
        <v>26</v>
      </c>
      <c r="G81" s="1" t="s">
        <v>20</v>
      </c>
      <c r="H81" s="1" t="s">
        <v>21</v>
      </c>
      <c r="I81">
        <v>4</v>
      </c>
      <c r="J81">
        <v>5465.64</v>
      </c>
      <c r="K81">
        <v>10</v>
      </c>
      <c r="L81">
        <v>19676.3</v>
      </c>
      <c r="M81" s="1" t="s">
        <v>35</v>
      </c>
      <c r="N81">
        <v>5</v>
      </c>
      <c r="O81">
        <v>1</v>
      </c>
      <c r="P81" s="1" t="s">
        <v>29</v>
      </c>
      <c r="Q81">
        <f>COUNTIF($A$2:$A81,$A81)</f>
        <v>1</v>
      </c>
    </row>
    <row r="82" spans="1:17" x14ac:dyDescent="0.3">
      <c r="A82" s="1" t="s">
        <v>207</v>
      </c>
      <c r="B82">
        <v>46171</v>
      </c>
      <c r="C82" s="1" t="s">
        <v>89</v>
      </c>
      <c r="D82">
        <v>46</v>
      </c>
      <c r="E82" s="1" t="s">
        <v>38</v>
      </c>
      <c r="F82" s="1" t="s">
        <v>32</v>
      </c>
      <c r="G82" s="1" t="s">
        <v>33</v>
      </c>
      <c r="H82" s="1" t="s">
        <v>112</v>
      </c>
      <c r="I82">
        <v>3</v>
      </c>
      <c r="J82">
        <v>5474.31</v>
      </c>
      <c r="K82">
        <v>10</v>
      </c>
      <c r="L82">
        <v>14780.64</v>
      </c>
      <c r="M82" s="1" t="s">
        <v>35</v>
      </c>
      <c r="N82">
        <v>4</v>
      </c>
      <c r="O82">
        <v>5</v>
      </c>
      <c r="P82" s="1" t="s">
        <v>29</v>
      </c>
      <c r="Q82">
        <f>COUNTIF($A$2:$A82,$A82)</f>
        <v>1</v>
      </c>
    </row>
    <row r="83" spans="1:17" x14ac:dyDescent="0.3">
      <c r="A83" s="1" t="s">
        <v>208</v>
      </c>
      <c r="B83">
        <v>46271</v>
      </c>
      <c r="C83" s="1" t="s">
        <v>102</v>
      </c>
      <c r="D83">
        <v>42</v>
      </c>
      <c r="E83" s="1" t="s">
        <v>38</v>
      </c>
      <c r="F83" s="1" t="s">
        <v>90</v>
      </c>
      <c r="G83" s="1" t="s">
        <v>40</v>
      </c>
      <c r="H83" s="1" t="s">
        <v>106</v>
      </c>
      <c r="I83">
        <v>5</v>
      </c>
      <c r="J83">
        <v>2599.41</v>
      </c>
      <c r="K83">
        <v>20</v>
      </c>
      <c r="L83">
        <v>10397.64</v>
      </c>
      <c r="M83" s="1" t="s">
        <v>35</v>
      </c>
      <c r="N83">
        <v>1</v>
      </c>
      <c r="O83">
        <v>7</v>
      </c>
      <c r="P83" s="1" t="s">
        <v>29</v>
      </c>
      <c r="Q83">
        <f>COUNTIF($A$2:$A83,$A83)</f>
        <v>1</v>
      </c>
    </row>
    <row r="84" spans="1:17" x14ac:dyDescent="0.3">
      <c r="A84" s="1" t="s">
        <v>209</v>
      </c>
      <c r="B84">
        <v>46049</v>
      </c>
      <c r="C84" s="1" t="s">
        <v>210</v>
      </c>
      <c r="D84">
        <v>32</v>
      </c>
      <c r="E84" s="1" t="s">
        <v>68</v>
      </c>
      <c r="F84" s="1" t="s">
        <v>55</v>
      </c>
      <c r="G84" s="1" t="s">
        <v>40</v>
      </c>
      <c r="H84" s="1" t="s">
        <v>106</v>
      </c>
      <c r="I84">
        <v>2</v>
      </c>
      <c r="J84">
        <v>5454.86</v>
      </c>
      <c r="K84">
        <v>15</v>
      </c>
      <c r="L84">
        <v>9273.26</v>
      </c>
      <c r="M84" s="1" t="s">
        <v>35</v>
      </c>
      <c r="N84">
        <v>5</v>
      </c>
      <c r="O84">
        <v>3</v>
      </c>
      <c r="P84" s="1" t="s">
        <v>29</v>
      </c>
      <c r="Q84">
        <f>COUNTIF($A$2:$A84,$A84)</f>
        <v>1</v>
      </c>
    </row>
    <row r="85" spans="1:17" x14ac:dyDescent="0.3">
      <c r="A85" s="1" t="s">
        <v>211</v>
      </c>
      <c r="B85">
        <v>46044</v>
      </c>
      <c r="C85" s="1" t="s">
        <v>212</v>
      </c>
      <c r="D85">
        <v>20</v>
      </c>
      <c r="E85" s="1" t="s">
        <v>68</v>
      </c>
      <c r="F85" s="1" t="s">
        <v>39</v>
      </c>
      <c r="G85" s="1" t="s">
        <v>40</v>
      </c>
      <c r="H85" s="1" t="s">
        <v>106</v>
      </c>
      <c r="I85">
        <v>2</v>
      </c>
      <c r="J85">
        <v>875.32</v>
      </c>
      <c r="K85">
        <v>5</v>
      </c>
      <c r="L85">
        <v>1663.11</v>
      </c>
      <c r="M85" s="1" t="s">
        <v>35</v>
      </c>
      <c r="N85">
        <v>5</v>
      </c>
      <c r="P85" s="1" t="s">
        <v>29</v>
      </c>
      <c r="Q85">
        <f>COUNTIF($A$2:$A85,$A85)</f>
        <v>1</v>
      </c>
    </row>
    <row r="86" spans="1:17" x14ac:dyDescent="0.3">
      <c r="A86" s="1" t="s">
        <v>213</v>
      </c>
      <c r="B86">
        <v>46211</v>
      </c>
      <c r="C86" s="1" t="s">
        <v>214</v>
      </c>
      <c r="D86">
        <v>34</v>
      </c>
      <c r="E86" s="1" t="s">
        <v>38</v>
      </c>
      <c r="F86" s="1" t="s">
        <v>39</v>
      </c>
      <c r="G86" s="1" t="s">
        <v>72</v>
      </c>
      <c r="H86" s="1" t="s">
        <v>150</v>
      </c>
      <c r="I86">
        <v>3</v>
      </c>
      <c r="K86">
        <v>10</v>
      </c>
      <c r="M86" s="1" t="s">
        <v>62</v>
      </c>
      <c r="N86">
        <v>2</v>
      </c>
      <c r="O86">
        <v>4</v>
      </c>
      <c r="P86" s="1" t="s">
        <v>29</v>
      </c>
      <c r="Q86">
        <f>COUNTIF($A$2:$A86,$A86)</f>
        <v>1</v>
      </c>
    </row>
    <row r="87" spans="1:17" x14ac:dyDescent="0.3">
      <c r="A87" s="1" t="s">
        <v>215</v>
      </c>
      <c r="B87">
        <v>46227</v>
      </c>
      <c r="C87" s="1" t="s">
        <v>216</v>
      </c>
      <c r="D87">
        <v>43</v>
      </c>
      <c r="E87" s="1" t="s">
        <v>38</v>
      </c>
      <c r="F87" s="1" t="s">
        <v>51</v>
      </c>
      <c r="G87" s="1" t="s">
        <v>27</v>
      </c>
      <c r="H87" s="1" t="s">
        <v>52</v>
      </c>
      <c r="I87">
        <v>5</v>
      </c>
      <c r="J87">
        <v>1155.67</v>
      </c>
      <c r="K87">
        <v>5</v>
      </c>
      <c r="L87">
        <v>5489.43</v>
      </c>
      <c r="M87" s="1" t="s">
        <v>35</v>
      </c>
      <c r="N87">
        <v>4</v>
      </c>
      <c r="O87">
        <v>7</v>
      </c>
      <c r="P87" s="1" t="s">
        <v>29</v>
      </c>
      <c r="Q87">
        <f>COUNTIF($A$2:$A87,$A87)</f>
        <v>1</v>
      </c>
    </row>
    <row r="88" spans="1:17" x14ac:dyDescent="0.3">
      <c r="A88" s="1" t="s">
        <v>217</v>
      </c>
      <c r="B88">
        <v>46079</v>
      </c>
      <c r="C88" s="1" t="s">
        <v>129</v>
      </c>
      <c r="D88">
        <v>19</v>
      </c>
      <c r="E88" s="1" t="s">
        <v>68</v>
      </c>
      <c r="F88" s="1" t="s">
        <v>26</v>
      </c>
      <c r="G88" s="1" t="s">
        <v>40</v>
      </c>
      <c r="H88" s="1" t="s">
        <v>96</v>
      </c>
      <c r="I88">
        <v>3</v>
      </c>
      <c r="J88">
        <v>7789.84</v>
      </c>
      <c r="K88">
        <v>0</v>
      </c>
      <c r="L88">
        <v>23369.52</v>
      </c>
      <c r="M88" s="1" t="s">
        <v>62</v>
      </c>
      <c r="N88">
        <v>5</v>
      </c>
      <c r="O88">
        <v>8</v>
      </c>
      <c r="P88" s="1" t="s">
        <v>29</v>
      </c>
      <c r="Q88">
        <f>COUNTIF($A$2:$A88,$A88)</f>
        <v>1</v>
      </c>
    </row>
    <row r="89" spans="1:17" x14ac:dyDescent="0.3">
      <c r="A89" s="1" t="s">
        <v>218</v>
      </c>
      <c r="B89">
        <v>46233</v>
      </c>
      <c r="C89" s="1" t="s">
        <v>77</v>
      </c>
      <c r="D89">
        <v>20</v>
      </c>
      <c r="E89" s="1" t="s">
        <v>38</v>
      </c>
      <c r="F89" s="1" t="s">
        <v>90</v>
      </c>
      <c r="G89" s="1" t="s">
        <v>27</v>
      </c>
      <c r="H89" s="1" t="s">
        <v>52</v>
      </c>
      <c r="I89">
        <v>4</v>
      </c>
      <c r="J89">
        <v>1093.0899999999999</v>
      </c>
      <c r="K89">
        <v>0</v>
      </c>
      <c r="L89">
        <v>4372.3599999999997</v>
      </c>
      <c r="M89" s="1" t="s">
        <v>22</v>
      </c>
      <c r="N89">
        <v>2</v>
      </c>
      <c r="O89">
        <v>7</v>
      </c>
      <c r="P89" s="1" t="s">
        <v>29</v>
      </c>
      <c r="Q89">
        <f>COUNTIF($A$2:$A89,$A89)</f>
        <v>1</v>
      </c>
    </row>
    <row r="90" spans="1:17" x14ac:dyDescent="0.3">
      <c r="A90" s="1" t="s">
        <v>219</v>
      </c>
      <c r="B90">
        <v>46238</v>
      </c>
      <c r="C90" s="1" t="s">
        <v>220</v>
      </c>
      <c r="D90">
        <v>59</v>
      </c>
      <c r="E90" s="1"/>
      <c r="F90" s="1" t="s">
        <v>32</v>
      </c>
      <c r="G90" s="1" t="s">
        <v>27</v>
      </c>
      <c r="H90" s="1" t="s">
        <v>221</v>
      </c>
      <c r="I90">
        <v>5</v>
      </c>
      <c r="J90">
        <v>3540.01</v>
      </c>
      <c r="K90">
        <v>5</v>
      </c>
      <c r="L90">
        <v>16815.05</v>
      </c>
      <c r="M90" s="1" t="s">
        <v>62</v>
      </c>
      <c r="N90">
        <v>5</v>
      </c>
      <c r="O90">
        <v>6</v>
      </c>
      <c r="P90" s="1" t="s">
        <v>29</v>
      </c>
      <c r="Q90">
        <f>COUNTIF($A$2:$A90,$A90)</f>
        <v>1</v>
      </c>
    </row>
    <row r="91" spans="1:17" x14ac:dyDescent="0.3">
      <c r="A91" s="1" t="s">
        <v>222</v>
      </c>
      <c r="B91">
        <v>46144</v>
      </c>
      <c r="C91" s="1" t="s">
        <v>223</v>
      </c>
      <c r="D91">
        <v>61</v>
      </c>
      <c r="E91" s="1" t="s">
        <v>38</v>
      </c>
      <c r="F91" s="1" t="s">
        <v>51</v>
      </c>
      <c r="G91" s="1" t="s">
        <v>33</v>
      </c>
      <c r="H91" s="1" t="s">
        <v>112</v>
      </c>
      <c r="I91">
        <v>3</v>
      </c>
      <c r="J91">
        <v>627.41</v>
      </c>
      <c r="K91">
        <v>5</v>
      </c>
      <c r="L91">
        <v>1788.12</v>
      </c>
      <c r="M91" s="1" t="s">
        <v>48</v>
      </c>
      <c r="N91">
        <v>1</v>
      </c>
      <c r="O91">
        <v>8</v>
      </c>
      <c r="P91" s="1" t="s">
        <v>23</v>
      </c>
      <c r="Q91">
        <f>COUNTIF($A$2:$A91,$A91)</f>
        <v>1</v>
      </c>
    </row>
    <row r="92" spans="1:17" x14ac:dyDescent="0.3">
      <c r="A92" s="1" t="s">
        <v>224</v>
      </c>
      <c r="B92">
        <v>46034</v>
      </c>
      <c r="C92" s="1" t="s">
        <v>225</v>
      </c>
      <c r="D92">
        <v>33</v>
      </c>
      <c r="E92" s="1" t="s">
        <v>68</v>
      </c>
      <c r="F92" s="1" t="s">
        <v>19</v>
      </c>
      <c r="G92" s="1" t="s">
        <v>20</v>
      </c>
      <c r="H92" s="1" t="s">
        <v>100</v>
      </c>
      <c r="I92">
        <v>2</v>
      </c>
      <c r="J92">
        <v>694.95</v>
      </c>
      <c r="K92">
        <v>25</v>
      </c>
      <c r="L92">
        <v>1042.43</v>
      </c>
      <c r="M92" s="1" t="s">
        <v>109</v>
      </c>
      <c r="N92">
        <v>2</v>
      </c>
      <c r="O92">
        <v>4</v>
      </c>
      <c r="P92" s="1" t="s">
        <v>29</v>
      </c>
      <c r="Q92">
        <f>COUNTIF($A$2:$A92,$A92)</f>
        <v>1</v>
      </c>
    </row>
    <row r="93" spans="1:17" x14ac:dyDescent="0.3">
      <c r="A93" s="1" t="s">
        <v>226</v>
      </c>
      <c r="B93">
        <v>46192</v>
      </c>
      <c r="C93" s="1" t="s">
        <v>31</v>
      </c>
      <c r="D93">
        <v>18</v>
      </c>
      <c r="E93" s="1" t="s">
        <v>18</v>
      </c>
      <c r="F93" s="1" t="s">
        <v>32</v>
      </c>
      <c r="G93" s="1" t="s">
        <v>33</v>
      </c>
      <c r="H93" s="1" t="s">
        <v>115</v>
      </c>
      <c r="I93">
        <v>2</v>
      </c>
      <c r="J93">
        <v>4647.01</v>
      </c>
      <c r="K93">
        <v>25</v>
      </c>
      <c r="L93">
        <v>6970.52</v>
      </c>
      <c r="M93" s="1" t="s">
        <v>48</v>
      </c>
      <c r="N93">
        <v>1</v>
      </c>
      <c r="O93">
        <v>1</v>
      </c>
      <c r="P93" s="1" t="s">
        <v>23</v>
      </c>
      <c r="Q93">
        <f>COUNTIF($A$2:$A93,$A93)</f>
        <v>1</v>
      </c>
    </row>
    <row r="94" spans="1:17" x14ac:dyDescent="0.3">
      <c r="A94" s="1" t="s">
        <v>227</v>
      </c>
      <c r="B94">
        <v>46145</v>
      </c>
      <c r="C94" s="1" t="s">
        <v>64</v>
      </c>
      <c r="D94">
        <v>29</v>
      </c>
      <c r="E94" s="1" t="s">
        <v>38</v>
      </c>
      <c r="F94" s="1" t="s">
        <v>51</v>
      </c>
      <c r="G94" s="1" t="s">
        <v>33</v>
      </c>
      <c r="H94" s="1" t="s">
        <v>43</v>
      </c>
      <c r="I94">
        <v>2</v>
      </c>
      <c r="J94">
        <v>6335.6</v>
      </c>
      <c r="K94">
        <v>15</v>
      </c>
      <c r="L94">
        <v>10770.52</v>
      </c>
      <c r="M94" s="1" t="s">
        <v>62</v>
      </c>
      <c r="N94">
        <v>5</v>
      </c>
      <c r="O94">
        <v>2</v>
      </c>
      <c r="P94" s="1" t="s">
        <v>29</v>
      </c>
      <c r="Q94">
        <f>COUNTIF($A$2:$A94,$A94)</f>
        <v>1</v>
      </c>
    </row>
    <row r="95" spans="1:17" x14ac:dyDescent="0.3">
      <c r="A95" s="1" t="s">
        <v>228</v>
      </c>
      <c r="B95">
        <v>46209</v>
      </c>
      <c r="C95" s="1" t="s">
        <v>119</v>
      </c>
      <c r="D95">
        <v>50</v>
      </c>
      <c r="E95" s="1" t="s">
        <v>68</v>
      </c>
      <c r="F95" s="1" t="s">
        <v>90</v>
      </c>
      <c r="G95" s="1" t="s">
        <v>20</v>
      </c>
      <c r="H95" s="1" t="s">
        <v>100</v>
      </c>
      <c r="I95">
        <v>1</v>
      </c>
      <c r="J95">
        <v>6214.3</v>
      </c>
      <c r="K95">
        <v>25</v>
      </c>
      <c r="L95">
        <v>4660.7299999999996</v>
      </c>
      <c r="M95" s="1" t="s">
        <v>22</v>
      </c>
      <c r="N95">
        <v>3</v>
      </c>
      <c r="O95">
        <v>8</v>
      </c>
      <c r="P95" s="1" t="s">
        <v>29</v>
      </c>
      <c r="Q95">
        <f>COUNTIF($A$2:$A95,$A95)</f>
        <v>1</v>
      </c>
    </row>
    <row r="96" spans="1:17" x14ac:dyDescent="0.3">
      <c r="A96" s="1" t="s">
        <v>229</v>
      </c>
      <c r="B96">
        <v>46055</v>
      </c>
      <c r="C96" s="1" t="s">
        <v>95</v>
      </c>
      <c r="D96">
        <v>45</v>
      </c>
      <c r="E96" s="1" t="s">
        <v>68</v>
      </c>
      <c r="F96" s="1" t="s">
        <v>55</v>
      </c>
      <c r="G96" s="1" t="s">
        <v>46</v>
      </c>
      <c r="H96" s="1" t="s">
        <v>47</v>
      </c>
      <c r="I96">
        <v>4</v>
      </c>
      <c r="J96">
        <v>6089.92</v>
      </c>
      <c r="K96">
        <v>10</v>
      </c>
      <c r="L96">
        <v>21923.71</v>
      </c>
      <c r="M96" s="1" t="s">
        <v>62</v>
      </c>
      <c r="N96">
        <v>1</v>
      </c>
      <c r="O96">
        <v>6</v>
      </c>
      <c r="P96" s="1" t="s">
        <v>29</v>
      </c>
      <c r="Q96">
        <f>COUNTIF($A$2:$A96,$A96)</f>
        <v>1</v>
      </c>
    </row>
    <row r="97" spans="1:17" x14ac:dyDescent="0.3">
      <c r="A97" s="1" t="s">
        <v>230</v>
      </c>
      <c r="B97">
        <v>46088</v>
      </c>
      <c r="C97" s="1" t="s">
        <v>231</v>
      </c>
      <c r="E97" s="1" t="s">
        <v>18</v>
      </c>
      <c r="F97" s="1" t="s">
        <v>39</v>
      </c>
      <c r="G97" s="1" t="s">
        <v>40</v>
      </c>
      <c r="H97" s="1" t="s">
        <v>96</v>
      </c>
      <c r="I97">
        <v>3</v>
      </c>
      <c r="J97">
        <v>3311.98</v>
      </c>
      <c r="K97">
        <v>15</v>
      </c>
      <c r="L97">
        <v>8445.5499999999993</v>
      </c>
      <c r="M97" s="1" t="s">
        <v>22</v>
      </c>
      <c r="N97">
        <v>3</v>
      </c>
      <c r="O97">
        <v>8</v>
      </c>
      <c r="P97" s="1" t="s">
        <v>29</v>
      </c>
      <c r="Q97">
        <f>COUNTIF($A$2:$A97,$A97)</f>
        <v>1</v>
      </c>
    </row>
    <row r="98" spans="1:17" x14ac:dyDescent="0.3">
      <c r="A98" s="1" t="s">
        <v>232</v>
      </c>
      <c r="B98">
        <v>46074</v>
      </c>
      <c r="C98" s="1" t="s">
        <v>233</v>
      </c>
      <c r="D98">
        <v>59</v>
      </c>
      <c r="E98" s="1" t="s">
        <v>18</v>
      </c>
      <c r="F98" s="1" t="s">
        <v>90</v>
      </c>
      <c r="G98" s="1" t="s">
        <v>40</v>
      </c>
      <c r="H98" s="1" t="s">
        <v>117</v>
      </c>
      <c r="I98">
        <v>4</v>
      </c>
      <c r="J98">
        <v>3904.03</v>
      </c>
      <c r="K98">
        <v>0</v>
      </c>
      <c r="L98">
        <v>15616.12</v>
      </c>
      <c r="M98" s="1" t="s">
        <v>80</v>
      </c>
      <c r="N98">
        <v>3</v>
      </c>
      <c r="O98">
        <v>8</v>
      </c>
      <c r="P98" s="1" t="s">
        <v>29</v>
      </c>
      <c r="Q98">
        <f>COUNTIF($A$2:$A98,$A98)</f>
        <v>1</v>
      </c>
    </row>
    <row r="99" spans="1:17" x14ac:dyDescent="0.3">
      <c r="A99" s="1" t="s">
        <v>234</v>
      </c>
      <c r="B99">
        <v>46072</v>
      </c>
      <c r="C99" s="1" t="s">
        <v>17</v>
      </c>
      <c r="D99">
        <v>38</v>
      </c>
      <c r="E99" s="1" t="s">
        <v>68</v>
      </c>
      <c r="F99" s="1" t="s">
        <v>51</v>
      </c>
      <c r="G99" s="1" t="s">
        <v>46</v>
      </c>
      <c r="H99" s="1" t="s">
        <v>65</v>
      </c>
      <c r="I99">
        <v>3</v>
      </c>
      <c r="J99">
        <v>8111.11</v>
      </c>
      <c r="K99">
        <v>20</v>
      </c>
      <c r="L99">
        <v>19466.66</v>
      </c>
      <c r="M99" s="1" t="s">
        <v>80</v>
      </c>
      <c r="N99">
        <v>1</v>
      </c>
      <c r="O99">
        <v>2</v>
      </c>
      <c r="P99" s="1" t="s">
        <v>29</v>
      </c>
      <c r="Q99">
        <f>COUNTIF($A$2:$A99,$A99)</f>
        <v>1</v>
      </c>
    </row>
    <row r="100" spans="1:17" x14ac:dyDescent="0.3">
      <c r="A100" s="1" t="s">
        <v>235</v>
      </c>
      <c r="B100">
        <v>46245</v>
      </c>
      <c r="C100" s="1" t="s">
        <v>205</v>
      </c>
      <c r="D100">
        <v>41</v>
      </c>
      <c r="E100" s="1" t="s">
        <v>18</v>
      </c>
      <c r="F100" s="1" t="s">
        <v>90</v>
      </c>
      <c r="G100" s="1" t="s">
        <v>20</v>
      </c>
      <c r="H100" s="1" t="s">
        <v>100</v>
      </c>
      <c r="I100">
        <v>1</v>
      </c>
      <c r="J100">
        <v>5034.58</v>
      </c>
      <c r="K100">
        <v>15</v>
      </c>
      <c r="L100">
        <v>4279.3900000000003</v>
      </c>
      <c r="M100" s="1" t="s">
        <v>22</v>
      </c>
      <c r="N100">
        <v>3</v>
      </c>
      <c r="O100">
        <v>2</v>
      </c>
      <c r="P100" s="1" t="s">
        <v>29</v>
      </c>
      <c r="Q100">
        <f>COUNTIF($A$2:$A100,$A100)</f>
        <v>1</v>
      </c>
    </row>
    <row r="101" spans="1:17" x14ac:dyDescent="0.3">
      <c r="A101" s="1" t="s">
        <v>236</v>
      </c>
      <c r="B101">
        <v>46240</v>
      </c>
      <c r="C101" s="1" t="s">
        <v>154</v>
      </c>
      <c r="D101">
        <v>56</v>
      </c>
      <c r="E101" s="1" t="s">
        <v>68</v>
      </c>
      <c r="F101" s="1" t="s">
        <v>19</v>
      </c>
      <c r="G101" s="1" t="s">
        <v>33</v>
      </c>
      <c r="H101" s="1" t="s">
        <v>34</v>
      </c>
      <c r="I101">
        <v>1</v>
      </c>
      <c r="J101">
        <v>4962.96</v>
      </c>
      <c r="K101">
        <v>0</v>
      </c>
      <c r="L101">
        <v>4962.96</v>
      </c>
      <c r="M101" s="1" t="s">
        <v>48</v>
      </c>
      <c r="O101">
        <v>8</v>
      </c>
      <c r="P101" s="1" t="s">
        <v>29</v>
      </c>
      <c r="Q101">
        <f>COUNTIF($A$2:$A101,$A101)</f>
        <v>1</v>
      </c>
    </row>
    <row r="102" spans="1:17" x14ac:dyDescent="0.3">
      <c r="A102" s="1" t="s">
        <v>237</v>
      </c>
      <c r="B102">
        <v>46203</v>
      </c>
      <c r="C102" s="1" t="s">
        <v>45</v>
      </c>
      <c r="D102">
        <v>35</v>
      </c>
      <c r="E102" s="1" t="s">
        <v>38</v>
      </c>
      <c r="F102" s="1" t="s">
        <v>51</v>
      </c>
      <c r="G102" s="1" t="s">
        <v>40</v>
      </c>
      <c r="H102" s="1" t="s">
        <v>117</v>
      </c>
      <c r="I102">
        <v>4</v>
      </c>
      <c r="J102">
        <v>7202.4</v>
      </c>
      <c r="K102">
        <v>25</v>
      </c>
      <c r="L102">
        <v>21607.200000000001</v>
      </c>
      <c r="M102" s="1" t="s">
        <v>22</v>
      </c>
      <c r="N102">
        <v>4</v>
      </c>
      <c r="O102">
        <v>9</v>
      </c>
      <c r="P102" s="1" t="s">
        <v>23</v>
      </c>
      <c r="Q102">
        <f>COUNTIF($A$2:$A102,$A102)</f>
        <v>1</v>
      </c>
    </row>
    <row r="103" spans="1:17" x14ac:dyDescent="0.3">
      <c r="A103" s="1" t="s">
        <v>238</v>
      </c>
      <c r="B103">
        <v>46160</v>
      </c>
      <c r="C103" s="1" t="s">
        <v>164</v>
      </c>
      <c r="D103">
        <v>35</v>
      </c>
      <c r="E103" s="1" t="s">
        <v>38</v>
      </c>
      <c r="F103" s="1" t="s">
        <v>19</v>
      </c>
      <c r="G103" s="1" t="s">
        <v>46</v>
      </c>
      <c r="H103" s="1" t="s">
        <v>65</v>
      </c>
      <c r="I103">
        <v>3</v>
      </c>
      <c r="J103">
        <v>3061.58</v>
      </c>
      <c r="K103">
        <v>0</v>
      </c>
      <c r="L103">
        <v>9184.74</v>
      </c>
      <c r="M103" s="1" t="s">
        <v>48</v>
      </c>
      <c r="N103">
        <v>4</v>
      </c>
      <c r="O103">
        <v>7</v>
      </c>
      <c r="P103" s="1" t="s">
        <v>23</v>
      </c>
      <c r="Q103">
        <f>COUNTIF($A$2:$A103,$A103)</f>
        <v>1</v>
      </c>
    </row>
    <row r="104" spans="1:17" x14ac:dyDescent="0.3">
      <c r="A104" s="1" t="s">
        <v>239</v>
      </c>
      <c r="B104">
        <v>46039</v>
      </c>
      <c r="C104" s="1" t="s">
        <v>102</v>
      </c>
      <c r="D104">
        <v>51</v>
      </c>
      <c r="E104" s="1" t="s">
        <v>18</v>
      </c>
      <c r="F104" s="1" t="s">
        <v>90</v>
      </c>
      <c r="G104" s="1" t="s">
        <v>20</v>
      </c>
      <c r="H104" s="1" t="s">
        <v>132</v>
      </c>
      <c r="I104">
        <v>4</v>
      </c>
      <c r="J104">
        <v>3921.55</v>
      </c>
      <c r="K104">
        <v>0</v>
      </c>
      <c r="L104">
        <v>15686.2</v>
      </c>
      <c r="M104" s="1" t="s">
        <v>35</v>
      </c>
      <c r="N104">
        <v>3</v>
      </c>
      <c r="O104">
        <v>6</v>
      </c>
      <c r="P104" s="1" t="s">
        <v>29</v>
      </c>
      <c r="Q104">
        <f>COUNTIF($A$2:$A104,$A104)</f>
        <v>1</v>
      </c>
    </row>
    <row r="105" spans="1:17" x14ac:dyDescent="0.3">
      <c r="A105" s="1" t="s">
        <v>240</v>
      </c>
      <c r="B105">
        <v>46067</v>
      </c>
      <c r="C105" s="1" t="s">
        <v>223</v>
      </c>
      <c r="D105">
        <v>28</v>
      </c>
      <c r="E105" s="1" t="s">
        <v>38</v>
      </c>
      <c r="F105" s="1" t="s">
        <v>19</v>
      </c>
      <c r="G105" s="1" t="s">
        <v>40</v>
      </c>
      <c r="H105" s="1" t="s">
        <v>41</v>
      </c>
      <c r="I105">
        <v>1</v>
      </c>
      <c r="J105">
        <v>2400.2199999999998</v>
      </c>
      <c r="K105">
        <v>20</v>
      </c>
      <c r="L105">
        <v>1920.18</v>
      </c>
      <c r="M105" s="1" t="s">
        <v>80</v>
      </c>
      <c r="N105">
        <v>4</v>
      </c>
      <c r="O105">
        <v>8</v>
      </c>
      <c r="P105" s="1" t="s">
        <v>29</v>
      </c>
      <c r="Q105">
        <f>COUNTIF($A$2:$A105,$A105)</f>
        <v>1</v>
      </c>
    </row>
    <row r="106" spans="1:17" x14ac:dyDescent="0.3">
      <c r="A106" s="1" t="s">
        <v>241</v>
      </c>
      <c r="B106">
        <v>46082</v>
      </c>
      <c r="C106" s="1" t="s">
        <v>203</v>
      </c>
      <c r="D106">
        <v>25</v>
      </c>
      <c r="E106" s="1" t="s">
        <v>68</v>
      </c>
      <c r="F106" s="1" t="s">
        <v>51</v>
      </c>
      <c r="G106" s="1" t="s">
        <v>33</v>
      </c>
      <c r="H106" s="1" t="s">
        <v>112</v>
      </c>
      <c r="I106">
        <v>4</v>
      </c>
      <c r="J106">
        <v>4535.71</v>
      </c>
      <c r="K106">
        <v>5</v>
      </c>
      <c r="L106">
        <v>17235.7</v>
      </c>
      <c r="M106" s="1" t="s">
        <v>62</v>
      </c>
      <c r="N106">
        <v>2</v>
      </c>
      <c r="O106">
        <v>7</v>
      </c>
      <c r="P106" s="1"/>
      <c r="Q106">
        <f>COUNTIF($A$2:$A106,$A106)</f>
        <v>1</v>
      </c>
    </row>
    <row r="107" spans="1:17" x14ac:dyDescent="0.3">
      <c r="A107" s="1" t="s">
        <v>242</v>
      </c>
      <c r="B107">
        <v>46027</v>
      </c>
      <c r="C107" s="1" t="s">
        <v>172</v>
      </c>
      <c r="D107">
        <v>31</v>
      </c>
      <c r="E107" s="1" t="s">
        <v>68</v>
      </c>
      <c r="F107" s="1" t="s">
        <v>26</v>
      </c>
      <c r="G107" s="1" t="s">
        <v>20</v>
      </c>
      <c r="H107" s="1" t="s">
        <v>178</v>
      </c>
      <c r="I107">
        <v>3</v>
      </c>
      <c r="J107">
        <v>2869.67</v>
      </c>
      <c r="K107">
        <v>0</v>
      </c>
      <c r="L107">
        <v>8609.01</v>
      </c>
      <c r="M107" s="1" t="s">
        <v>80</v>
      </c>
      <c r="N107">
        <v>5</v>
      </c>
      <c r="O107">
        <v>7</v>
      </c>
      <c r="P107" s="1" t="s">
        <v>29</v>
      </c>
      <c r="Q107">
        <f>COUNTIF($A$2:$A107,$A107)</f>
        <v>1</v>
      </c>
    </row>
    <row r="108" spans="1:17" x14ac:dyDescent="0.3">
      <c r="A108" s="1" t="s">
        <v>243</v>
      </c>
      <c r="B108">
        <v>46141</v>
      </c>
      <c r="C108" s="1" t="s">
        <v>37</v>
      </c>
      <c r="D108">
        <v>43</v>
      </c>
      <c r="E108" s="1" t="s">
        <v>38</v>
      </c>
      <c r="F108" s="1" t="s">
        <v>71</v>
      </c>
      <c r="G108" s="1" t="s">
        <v>46</v>
      </c>
      <c r="H108" s="1" t="s">
        <v>47</v>
      </c>
      <c r="I108">
        <v>4</v>
      </c>
      <c r="J108">
        <v>277.05</v>
      </c>
      <c r="K108">
        <v>0</v>
      </c>
      <c r="L108">
        <v>1108.2</v>
      </c>
      <c r="M108" s="1" t="s">
        <v>35</v>
      </c>
      <c r="N108">
        <v>4</v>
      </c>
      <c r="O108">
        <v>7</v>
      </c>
      <c r="P108" s="1" t="s">
        <v>29</v>
      </c>
      <c r="Q108">
        <f>COUNTIF($A$2:$A108,$A108)</f>
        <v>1</v>
      </c>
    </row>
    <row r="109" spans="1:17" x14ac:dyDescent="0.3">
      <c r="A109" s="1" t="s">
        <v>244</v>
      </c>
      <c r="B109">
        <v>46237</v>
      </c>
      <c r="C109" s="1" t="s">
        <v>245</v>
      </c>
      <c r="D109">
        <v>43</v>
      </c>
      <c r="E109" s="1" t="s">
        <v>38</v>
      </c>
      <c r="F109" s="1" t="s">
        <v>39</v>
      </c>
      <c r="G109" s="1" t="s">
        <v>27</v>
      </c>
      <c r="H109" s="1" t="s">
        <v>52</v>
      </c>
      <c r="I109">
        <v>2</v>
      </c>
      <c r="J109">
        <v>6835.08</v>
      </c>
      <c r="K109">
        <v>15</v>
      </c>
      <c r="L109">
        <v>11619.64</v>
      </c>
      <c r="M109" s="1" t="s">
        <v>80</v>
      </c>
      <c r="N109">
        <v>5</v>
      </c>
      <c r="O109">
        <v>6</v>
      </c>
      <c r="P109" s="1" t="s">
        <v>23</v>
      </c>
      <c r="Q109">
        <f>COUNTIF($A$2:$A109,$A109)</f>
        <v>1</v>
      </c>
    </row>
    <row r="110" spans="1:17" x14ac:dyDescent="0.3">
      <c r="A110" s="1" t="s">
        <v>246</v>
      </c>
      <c r="B110">
        <v>46078</v>
      </c>
      <c r="C110" s="1" t="s">
        <v>247</v>
      </c>
      <c r="D110">
        <v>55</v>
      </c>
      <c r="E110" s="1" t="s">
        <v>68</v>
      </c>
      <c r="F110" s="1" t="s">
        <v>26</v>
      </c>
      <c r="G110" s="1" t="s">
        <v>72</v>
      </c>
      <c r="H110" s="1" t="s">
        <v>73</v>
      </c>
      <c r="I110">
        <v>1</v>
      </c>
      <c r="J110">
        <v>3436.52</v>
      </c>
      <c r="K110">
        <v>5</v>
      </c>
      <c r="L110">
        <v>3264.69</v>
      </c>
      <c r="M110" s="1" t="s">
        <v>35</v>
      </c>
      <c r="N110">
        <v>2</v>
      </c>
      <c r="O110">
        <v>6</v>
      </c>
      <c r="P110" s="1" t="s">
        <v>29</v>
      </c>
      <c r="Q110">
        <f>COUNTIF($A$2:$A110,$A110)</f>
        <v>1</v>
      </c>
    </row>
    <row r="111" spans="1:17" x14ac:dyDescent="0.3">
      <c r="A111" s="1" t="s">
        <v>248</v>
      </c>
      <c r="B111">
        <v>46082</v>
      </c>
      <c r="C111" s="1" t="s">
        <v>86</v>
      </c>
      <c r="D111">
        <v>40</v>
      </c>
      <c r="E111" s="1" t="s">
        <v>68</v>
      </c>
      <c r="F111" s="1" t="s">
        <v>26</v>
      </c>
      <c r="G111" s="1"/>
      <c r="H111" s="1" t="s">
        <v>122</v>
      </c>
      <c r="I111">
        <v>2</v>
      </c>
      <c r="J111">
        <v>981.5</v>
      </c>
      <c r="K111">
        <v>5</v>
      </c>
      <c r="L111">
        <v>1864.85</v>
      </c>
      <c r="M111" s="1" t="s">
        <v>48</v>
      </c>
      <c r="N111">
        <v>2</v>
      </c>
      <c r="O111">
        <v>3</v>
      </c>
      <c r="P111" s="1" t="s">
        <v>29</v>
      </c>
      <c r="Q111">
        <f>COUNTIF($A$2:$A111,$A111)</f>
        <v>1</v>
      </c>
    </row>
    <row r="112" spans="1:17" x14ac:dyDescent="0.3">
      <c r="A112" s="1" t="s">
        <v>249</v>
      </c>
      <c r="B112">
        <v>46062</v>
      </c>
      <c r="C112" s="1" t="s">
        <v>95</v>
      </c>
      <c r="D112">
        <v>49</v>
      </c>
      <c r="E112" s="1" t="s">
        <v>18</v>
      </c>
      <c r="F112" s="1" t="s">
        <v>32</v>
      </c>
      <c r="G112" s="1" t="s">
        <v>72</v>
      </c>
      <c r="H112" s="1" t="s">
        <v>73</v>
      </c>
      <c r="I112">
        <v>5</v>
      </c>
      <c r="J112">
        <v>3881.83</v>
      </c>
      <c r="K112">
        <v>15</v>
      </c>
      <c r="L112">
        <v>16497.78</v>
      </c>
      <c r="M112" s="1" t="s">
        <v>22</v>
      </c>
      <c r="N112">
        <v>3</v>
      </c>
      <c r="O112">
        <v>6</v>
      </c>
      <c r="P112" s="1" t="s">
        <v>29</v>
      </c>
      <c r="Q112">
        <f>COUNTIF($A$2:$A112,$A112)</f>
        <v>1</v>
      </c>
    </row>
    <row r="113" spans="1:17" x14ac:dyDescent="0.3">
      <c r="A113" s="1" t="s">
        <v>250</v>
      </c>
      <c r="B113">
        <v>46264</v>
      </c>
      <c r="C113" s="1" t="s">
        <v>216</v>
      </c>
      <c r="D113">
        <v>37</v>
      </c>
      <c r="E113" s="1" t="s">
        <v>18</v>
      </c>
      <c r="F113" s="1" t="s">
        <v>55</v>
      </c>
      <c r="G113" s="1" t="s">
        <v>33</v>
      </c>
      <c r="H113" s="1" t="s">
        <v>112</v>
      </c>
      <c r="I113">
        <v>1</v>
      </c>
      <c r="J113">
        <v>3069.28</v>
      </c>
      <c r="K113">
        <v>0</v>
      </c>
      <c r="L113">
        <v>3069.28</v>
      </c>
      <c r="M113" s="1" t="s">
        <v>35</v>
      </c>
      <c r="N113">
        <v>4</v>
      </c>
      <c r="O113">
        <v>8</v>
      </c>
      <c r="P113" s="1" t="s">
        <v>23</v>
      </c>
      <c r="Q113">
        <f>COUNTIF($A$2:$A113,$A113)</f>
        <v>1</v>
      </c>
    </row>
    <row r="114" spans="1:17" x14ac:dyDescent="0.3">
      <c r="A114" s="1" t="s">
        <v>251</v>
      </c>
      <c r="B114">
        <v>46170</v>
      </c>
      <c r="C114" s="1" t="s">
        <v>252</v>
      </c>
      <c r="D114">
        <v>23</v>
      </c>
      <c r="E114" s="1"/>
      <c r="F114" s="1" t="s">
        <v>90</v>
      </c>
      <c r="G114" s="1" t="s">
        <v>40</v>
      </c>
      <c r="H114" s="1" t="s">
        <v>96</v>
      </c>
      <c r="I114">
        <v>5</v>
      </c>
      <c r="J114">
        <v>3341.96</v>
      </c>
      <c r="K114">
        <v>15</v>
      </c>
      <c r="L114">
        <v>14203.33</v>
      </c>
      <c r="M114" s="1" t="s">
        <v>22</v>
      </c>
      <c r="N114">
        <v>5</v>
      </c>
      <c r="O114">
        <v>1</v>
      </c>
      <c r="P114" s="1" t="s">
        <v>29</v>
      </c>
      <c r="Q114">
        <f>COUNTIF($A$2:$A114,$A114)</f>
        <v>1</v>
      </c>
    </row>
    <row r="115" spans="1:17" x14ac:dyDescent="0.3">
      <c r="A115" s="1" t="s">
        <v>253</v>
      </c>
      <c r="B115">
        <v>46120</v>
      </c>
      <c r="C115" s="1" t="s">
        <v>254</v>
      </c>
      <c r="D115">
        <v>48</v>
      </c>
      <c r="E115" s="1" t="s">
        <v>18</v>
      </c>
      <c r="F115" s="1" t="s">
        <v>51</v>
      </c>
      <c r="G115" s="1" t="s">
        <v>40</v>
      </c>
      <c r="H115" s="1" t="s">
        <v>117</v>
      </c>
      <c r="I115">
        <v>1</v>
      </c>
      <c r="J115">
        <v>3895.38</v>
      </c>
      <c r="K115">
        <v>25</v>
      </c>
      <c r="L115">
        <v>2921.53</v>
      </c>
      <c r="M115" s="1" t="s">
        <v>35</v>
      </c>
      <c r="N115">
        <v>5</v>
      </c>
      <c r="O115">
        <v>2</v>
      </c>
      <c r="P115" s="1" t="s">
        <v>29</v>
      </c>
      <c r="Q115">
        <f>COUNTIF($A$2:$A115,$A115)</f>
        <v>1</v>
      </c>
    </row>
    <row r="116" spans="1:17" x14ac:dyDescent="0.3">
      <c r="A116" s="1" t="s">
        <v>255</v>
      </c>
      <c r="B116">
        <v>46044</v>
      </c>
      <c r="C116" s="1" t="s">
        <v>256</v>
      </c>
      <c r="D116">
        <v>46</v>
      </c>
      <c r="E116" s="1" t="s">
        <v>18</v>
      </c>
      <c r="F116" s="1" t="s">
        <v>26</v>
      </c>
      <c r="G116" s="1" t="s">
        <v>72</v>
      </c>
      <c r="H116" s="1" t="s">
        <v>73</v>
      </c>
      <c r="I116">
        <v>5</v>
      </c>
      <c r="J116">
        <v>5230.17</v>
      </c>
      <c r="K116">
        <v>5</v>
      </c>
      <c r="L116">
        <v>24843.31</v>
      </c>
      <c r="M116" s="1" t="s">
        <v>35</v>
      </c>
      <c r="N116">
        <v>3</v>
      </c>
      <c r="O116">
        <v>7</v>
      </c>
      <c r="P116" s="1" t="s">
        <v>29</v>
      </c>
      <c r="Q116">
        <f>COUNTIF($A$2:$A116,$A116)</f>
        <v>1</v>
      </c>
    </row>
    <row r="117" spans="1:17" x14ac:dyDescent="0.3">
      <c r="A117" s="1" t="s">
        <v>257</v>
      </c>
      <c r="B117">
        <v>46050</v>
      </c>
      <c r="C117" s="1" t="s">
        <v>258</v>
      </c>
      <c r="D117">
        <v>39</v>
      </c>
      <c r="E117" s="1" t="s">
        <v>38</v>
      </c>
      <c r="F117" s="1" t="s">
        <v>51</v>
      </c>
      <c r="G117" s="1" t="s">
        <v>27</v>
      </c>
      <c r="H117" s="1" t="s">
        <v>28</v>
      </c>
      <c r="I117">
        <v>4</v>
      </c>
      <c r="J117">
        <v>2501.15</v>
      </c>
      <c r="K117" t="s">
        <v>84</v>
      </c>
      <c r="M117" s="1" t="s">
        <v>22</v>
      </c>
      <c r="N117">
        <v>5</v>
      </c>
      <c r="O117">
        <v>3</v>
      </c>
      <c r="P117" s="1" t="s">
        <v>29</v>
      </c>
      <c r="Q117">
        <f>COUNTIF($A$2:$A117,$A117)</f>
        <v>1</v>
      </c>
    </row>
    <row r="118" spans="1:17" x14ac:dyDescent="0.3">
      <c r="A118" s="1" t="s">
        <v>259</v>
      </c>
      <c r="B118">
        <v>46096</v>
      </c>
      <c r="C118" s="1" t="s">
        <v>260</v>
      </c>
      <c r="D118">
        <v>59</v>
      </c>
      <c r="E118" s="1" t="s">
        <v>68</v>
      </c>
      <c r="F118" s="1" t="s">
        <v>51</v>
      </c>
      <c r="G118" s="1" t="s">
        <v>46</v>
      </c>
      <c r="H118" s="1" t="s">
        <v>198</v>
      </c>
      <c r="I118">
        <v>2</v>
      </c>
      <c r="J118">
        <v>5106.45</v>
      </c>
      <c r="K118">
        <v>0</v>
      </c>
      <c r="L118">
        <v>10212.9</v>
      </c>
      <c r="M118" s="1" t="s">
        <v>35</v>
      </c>
      <c r="N118">
        <v>4</v>
      </c>
      <c r="O118">
        <v>7</v>
      </c>
      <c r="P118" s="1" t="s">
        <v>29</v>
      </c>
      <c r="Q118">
        <f>COUNTIF($A$2:$A118,$A118)</f>
        <v>1</v>
      </c>
    </row>
    <row r="119" spans="1:17" x14ac:dyDescent="0.3">
      <c r="A119" s="1" t="s">
        <v>219</v>
      </c>
      <c r="B119">
        <v>46238</v>
      </c>
      <c r="C119" s="1" t="s">
        <v>220</v>
      </c>
      <c r="D119">
        <v>59</v>
      </c>
      <c r="E119" s="1"/>
      <c r="F119" s="1" t="s">
        <v>32</v>
      </c>
      <c r="G119" s="1" t="s">
        <v>27</v>
      </c>
      <c r="H119" s="1" t="s">
        <v>221</v>
      </c>
      <c r="I119">
        <v>5</v>
      </c>
      <c r="J119">
        <v>3540.01</v>
      </c>
      <c r="K119">
        <v>5</v>
      </c>
      <c r="L119">
        <v>16815.05</v>
      </c>
      <c r="M119" s="1" t="s">
        <v>62</v>
      </c>
      <c r="N119">
        <v>5</v>
      </c>
      <c r="O119">
        <v>6</v>
      </c>
      <c r="P119" s="1" t="s">
        <v>29</v>
      </c>
      <c r="Q119">
        <f>COUNTIF($A$2:$A119,$A119)</f>
        <v>2</v>
      </c>
    </row>
    <row r="120" spans="1:17" x14ac:dyDescent="0.3">
      <c r="A120" s="1" t="s">
        <v>261</v>
      </c>
      <c r="B120">
        <v>46122</v>
      </c>
      <c r="C120" s="1" t="s">
        <v>262</v>
      </c>
      <c r="D120">
        <v>27</v>
      </c>
      <c r="E120" s="1" t="s">
        <v>38</v>
      </c>
      <c r="F120" s="1" t="s">
        <v>26</v>
      </c>
      <c r="G120" s="1" t="s">
        <v>27</v>
      </c>
      <c r="H120" s="1" t="s">
        <v>52</v>
      </c>
      <c r="I120">
        <v>1</v>
      </c>
      <c r="K120">
        <v>15</v>
      </c>
      <c r="M120" s="1" t="s">
        <v>22</v>
      </c>
      <c r="N120">
        <v>1</v>
      </c>
      <c r="O120">
        <v>6</v>
      </c>
      <c r="P120" s="1" t="s">
        <v>29</v>
      </c>
      <c r="Q120">
        <f>COUNTIF($A$2:$A120,$A120)</f>
        <v>1</v>
      </c>
    </row>
    <row r="121" spans="1:17" x14ac:dyDescent="0.3">
      <c r="A121" s="1" t="s">
        <v>263</v>
      </c>
      <c r="B121">
        <v>46091</v>
      </c>
      <c r="C121" s="1" t="s">
        <v>264</v>
      </c>
      <c r="D121">
        <v>28</v>
      </c>
      <c r="E121" s="1" t="s">
        <v>38</v>
      </c>
      <c r="F121" s="1" t="s">
        <v>99</v>
      </c>
      <c r="G121" s="1" t="s">
        <v>20</v>
      </c>
      <c r="H121" s="1" t="s">
        <v>100</v>
      </c>
      <c r="I121">
        <v>2</v>
      </c>
      <c r="J121">
        <v>6163.51</v>
      </c>
      <c r="K121">
        <v>0</v>
      </c>
      <c r="L121">
        <v>12327.02</v>
      </c>
      <c r="M121" s="1" t="s">
        <v>80</v>
      </c>
      <c r="N121">
        <v>3</v>
      </c>
      <c r="O121">
        <v>4</v>
      </c>
      <c r="P121" s="1" t="s">
        <v>29</v>
      </c>
      <c r="Q121">
        <f>COUNTIF($A$2:$A121,$A121)</f>
        <v>1</v>
      </c>
    </row>
    <row r="122" spans="1:17" x14ac:dyDescent="0.3">
      <c r="A122" s="1" t="s">
        <v>265</v>
      </c>
      <c r="B122">
        <v>46169</v>
      </c>
      <c r="C122" s="1" t="s">
        <v>175</v>
      </c>
      <c r="D122">
        <v>52</v>
      </c>
      <c r="E122" s="1" t="s">
        <v>38</v>
      </c>
      <c r="F122" s="1" t="s">
        <v>55</v>
      </c>
      <c r="G122" s="1" t="s">
        <v>20</v>
      </c>
      <c r="H122" s="1" t="s">
        <v>178</v>
      </c>
      <c r="I122">
        <v>4</v>
      </c>
      <c r="J122">
        <v>7695.3</v>
      </c>
      <c r="K122">
        <v>0</v>
      </c>
      <c r="L122">
        <v>30781.200000000001</v>
      </c>
      <c r="M122" s="1" t="s">
        <v>35</v>
      </c>
      <c r="N122">
        <v>5</v>
      </c>
      <c r="O122">
        <v>8</v>
      </c>
      <c r="P122" s="1" t="s">
        <v>29</v>
      </c>
      <c r="Q122">
        <f>COUNTIF($A$2:$A122,$A122)</f>
        <v>1</v>
      </c>
    </row>
    <row r="123" spans="1:17" x14ac:dyDescent="0.3">
      <c r="A123" s="1" t="s">
        <v>266</v>
      </c>
      <c r="B123">
        <v>46219</v>
      </c>
      <c r="C123" s="1" t="s">
        <v>267</v>
      </c>
      <c r="E123" s="1" t="s">
        <v>38</v>
      </c>
      <c r="F123" s="1" t="s">
        <v>99</v>
      </c>
      <c r="G123" s="1" t="s">
        <v>40</v>
      </c>
      <c r="H123" s="1" t="s">
        <v>117</v>
      </c>
      <c r="I123">
        <v>3</v>
      </c>
      <c r="J123">
        <v>557.27</v>
      </c>
      <c r="K123">
        <v>10</v>
      </c>
      <c r="L123">
        <v>1504.63</v>
      </c>
      <c r="M123" s="1" t="s">
        <v>35</v>
      </c>
      <c r="N123">
        <v>4</v>
      </c>
      <c r="O123">
        <v>2</v>
      </c>
      <c r="P123" s="1" t="s">
        <v>29</v>
      </c>
      <c r="Q123">
        <f>COUNTIF($A$2:$A123,$A123)</f>
        <v>1</v>
      </c>
    </row>
    <row r="124" spans="1:17" x14ac:dyDescent="0.3">
      <c r="A124" s="1" t="s">
        <v>268</v>
      </c>
      <c r="B124">
        <v>46087</v>
      </c>
      <c r="C124" s="1" t="s">
        <v>269</v>
      </c>
      <c r="D124">
        <v>28</v>
      </c>
      <c r="E124" s="1" t="s">
        <v>38</v>
      </c>
      <c r="F124" s="1" t="s">
        <v>39</v>
      </c>
      <c r="G124" s="1" t="s">
        <v>33</v>
      </c>
      <c r="H124" s="1" t="s">
        <v>87</v>
      </c>
      <c r="I124">
        <v>5</v>
      </c>
      <c r="J124">
        <v>1354.78</v>
      </c>
      <c r="K124">
        <v>10</v>
      </c>
      <c r="L124">
        <v>6096.51</v>
      </c>
      <c r="M124" s="1" t="s">
        <v>62</v>
      </c>
      <c r="N124">
        <v>2</v>
      </c>
      <c r="O124">
        <v>8</v>
      </c>
      <c r="P124" s="1" t="s">
        <v>29</v>
      </c>
      <c r="Q124">
        <f>COUNTIF($A$2:$A124,$A124)</f>
        <v>1</v>
      </c>
    </row>
    <row r="125" spans="1:17" x14ac:dyDescent="0.3">
      <c r="A125" s="1" t="s">
        <v>270</v>
      </c>
      <c r="B125">
        <v>46037</v>
      </c>
      <c r="C125" s="1" t="s">
        <v>79</v>
      </c>
      <c r="D125">
        <v>43</v>
      </c>
      <c r="E125" s="1" t="s">
        <v>38</v>
      </c>
      <c r="F125" s="1" t="s">
        <v>99</v>
      </c>
      <c r="G125" s="1" t="s">
        <v>40</v>
      </c>
      <c r="H125" s="1" t="s">
        <v>106</v>
      </c>
      <c r="I125">
        <v>2</v>
      </c>
      <c r="J125">
        <v>3356.07</v>
      </c>
      <c r="K125">
        <v>0</v>
      </c>
      <c r="L125">
        <v>6712.14</v>
      </c>
      <c r="M125" s="1" t="s">
        <v>35</v>
      </c>
      <c r="N125">
        <v>2</v>
      </c>
      <c r="P125" s="1" t="s">
        <v>29</v>
      </c>
      <c r="Q125">
        <f>COUNTIF($A$2:$A125,$A125)</f>
        <v>1</v>
      </c>
    </row>
    <row r="126" spans="1:17" x14ac:dyDescent="0.3">
      <c r="A126" s="1" t="s">
        <v>271</v>
      </c>
      <c r="B126">
        <v>46195</v>
      </c>
      <c r="C126" s="1" t="s">
        <v>75</v>
      </c>
      <c r="D126">
        <v>20</v>
      </c>
      <c r="E126" s="1" t="s">
        <v>38</v>
      </c>
      <c r="F126" s="1" t="s">
        <v>32</v>
      </c>
      <c r="G126" s="1" t="s">
        <v>33</v>
      </c>
      <c r="H126" s="1" t="s">
        <v>87</v>
      </c>
      <c r="I126">
        <v>2</v>
      </c>
      <c r="J126">
        <v>6479.09</v>
      </c>
      <c r="K126">
        <v>10</v>
      </c>
      <c r="L126">
        <v>11662.36</v>
      </c>
      <c r="M126" s="1" t="s">
        <v>80</v>
      </c>
      <c r="N126">
        <v>4</v>
      </c>
      <c r="O126">
        <v>1</v>
      </c>
      <c r="P126" s="1" t="s">
        <v>29</v>
      </c>
      <c r="Q126">
        <f>COUNTIF($A$2:$A126,$A126)</f>
        <v>1</v>
      </c>
    </row>
    <row r="127" spans="1:17" x14ac:dyDescent="0.3">
      <c r="A127" s="1" t="s">
        <v>272</v>
      </c>
      <c r="B127">
        <v>46155</v>
      </c>
      <c r="C127" s="1" t="s">
        <v>273</v>
      </c>
      <c r="D127">
        <v>53</v>
      </c>
      <c r="E127" s="1" t="s">
        <v>38</v>
      </c>
      <c r="F127" s="1" t="s">
        <v>26</v>
      </c>
      <c r="G127" s="1" t="s">
        <v>46</v>
      </c>
      <c r="H127" s="1" t="s">
        <v>61</v>
      </c>
      <c r="I127">
        <v>5</v>
      </c>
      <c r="J127">
        <v>3666.87</v>
      </c>
      <c r="K127">
        <v>25</v>
      </c>
      <c r="L127">
        <v>13750.76</v>
      </c>
      <c r="M127" s="1" t="s">
        <v>35</v>
      </c>
      <c r="N127">
        <v>2</v>
      </c>
      <c r="O127">
        <v>5</v>
      </c>
      <c r="P127" s="1" t="s">
        <v>23</v>
      </c>
      <c r="Q127">
        <f>COUNTIF($A$2:$A127,$A127)</f>
        <v>1</v>
      </c>
    </row>
    <row r="128" spans="1:17" x14ac:dyDescent="0.3">
      <c r="A128" s="1" t="s">
        <v>274</v>
      </c>
      <c r="B128">
        <v>46238</v>
      </c>
      <c r="C128" s="1" t="s">
        <v>60</v>
      </c>
      <c r="D128">
        <v>25</v>
      </c>
      <c r="E128" s="1" t="s">
        <v>38</v>
      </c>
      <c r="F128" s="1" t="s">
        <v>55</v>
      </c>
      <c r="G128" s="1" t="s">
        <v>72</v>
      </c>
      <c r="H128" s="1" t="s">
        <v>73</v>
      </c>
      <c r="I128">
        <v>5</v>
      </c>
      <c r="J128">
        <v>257.73</v>
      </c>
      <c r="K128">
        <v>15</v>
      </c>
      <c r="L128">
        <v>1095.3499999999999</v>
      </c>
      <c r="M128" s="1" t="s">
        <v>109</v>
      </c>
      <c r="N128">
        <v>2</v>
      </c>
      <c r="O128">
        <v>3</v>
      </c>
      <c r="P128" s="1" t="s">
        <v>29</v>
      </c>
      <c r="Q128">
        <f>COUNTIF($A$2:$A128,$A128)</f>
        <v>1</v>
      </c>
    </row>
    <row r="129" spans="1:17" x14ac:dyDescent="0.3">
      <c r="A129" s="1" t="s">
        <v>275</v>
      </c>
      <c r="B129">
        <v>46204</v>
      </c>
      <c r="C129" s="1" t="s">
        <v>276</v>
      </c>
      <c r="D129">
        <v>44</v>
      </c>
      <c r="E129" s="1" t="s">
        <v>18</v>
      </c>
      <c r="F129" s="1" t="s">
        <v>26</v>
      </c>
      <c r="G129" s="1" t="s">
        <v>20</v>
      </c>
      <c r="H129" s="1" t="s">
        <v>165</v>
      </c>
      <c r="I129">
        <v>5</v>
      </c>
      <c r="J129">
        <v>8287.6</v>
      </c>
      <c r="K129">
        <v>0</v>
      </c>
      <c r="L129">
        <v>41438</v>
      </c>
      <c r="M129" s="1" t="s">
        <v>22</v>
      </c>
      <c r="N129">
        <v>4</v>
      </c>
      <c r="O129">
        <v>9</v>
      </c>
      <c r="P129" s="1" t="s">
        <v>29</v>
      </c>
      <c r="Q129">
        <f>COUNTIF($A$2:$A129,$A129)</f>
        <v>1</v>
      </c>
    </row>
    <row r="130" spans="1:17" x14ac:dyDescent="0.3">
      <c r="A130" s="1" t="s">
        <v>277</v>
      </c>
      <c r="B130">
        <v>46034</v>
      </c>
      <c r="C130" s="1" t="s">
        <v>233</v>
      </c>
      <c r="D130">
        <v>20</v>
      </c>
      <c r="E130" s="1" t="s">
        <v>68</v>
      </c>
      <c r="F130" s="1" t="s">
        <v>99</v>
      </c>
      <c r="G130" s="1" t="s">
        <v>46</v>
      </c>
      <c r="H130" s="1" t="s">
        <v>198</v>
      </c>
      <c r="I130">
        <v>3</v>
      </c>
      <c r="J130">
        <v>2245.59</v>
      </c>
      <c r="K130">
        <v>0</v>
      </c>
      <c r="L130">
        <v>6736.77</v>
      </c>
      <c r="M130" s="1" t="s">
        <v>35</v>
      </c>
      <c r="N130">
        <v>5</v>
      </c>
      <c r="O130">
        <v>2</v>
      </c>
      <c r="P130" s="1" t="s">
        <v>29</v>
      </c>
      <c r="Q130">
        <f>COUNTIF($A$2:$A130,$A130)</f>
        <v>1</v>
      </c>
    </row>
    <row r="131" spans="1:17" x14ac:dyDescent="0.3">
      <c r="A131" s="1" t="s">
        <v>278</v>
      </c>
      <c r="B131">
        <v>46077</v>
      </c>
      <c r="C131" s="1" t="s">
        <v>252</v>
      </c>
      <c r="D131">
        <v>20</v>
      </c>
      <c r="E131" s="1" t="s">
        <v>38</v>
      </c>
      <c r="F131" s="1" t="s">
        <v>51</v>
      </c>
      <c r="G131" s="1" t="s">
        <v>33</v>
      </c>
      <c r="H131" s="1" t="s">
        <v>112</v>
      </c>
      <c r="I131">
        <v>3</v>
      </c>
      <c r="J131">
        <v>6937.2</v>
      </c>
      <c r="K131">
        <v>0</v>
      </c>
      <c r="L131">
        <v>20811.599999999999</v>
      </c>
      <c r="M131" s="1" t="s">
        <v>80</v>
      </c>
      <c r="N131">
        <v>5</v>
      </c>
      <c r="O131">
        <v>8</v>
      </c>
      <c r="P131" s="1" t="s">
        <v>29</v>
      </c>
      <c r="Q131">
        <f>COUNTIF($A$2:$A131,$A131)</f>
        <v>1</v>
      </c>
    </row>
    <row r="132" spans="1:17" x14ac:dyDescent="0.3">
      <c r="A132" s="1" t="s">
        <v>279</v>
      </c>
      <c r="B132">
        <v>46093</v>
      </c>
      <c r="C132" s="1" t="s">
        <v>67</v>
      </c>
      <c r="D132">
        <v>47</v>
      </c>
      <c r="E132" s="1" t="s">
        <v>18</v>
      </c>
      <c r="F132" s="1" t="s">
        <v>90</v>
      </c>
      <c r="G132" s="1" t="s">
        <v>27</v>
      </c>
      <c r="H132" s="1" t="s">
        <v>52</v>
      </c>
      <c r="I132">
        <v>2</v>
      </c>
      <c r="J132">
        <v>487.1</v>
      </c>
      <c r="K132">
        <v>0</v>
      </c>
      <c r="L132">
        <v>974.2</v>
      </c>
      <c r="M132" s="1" t="s">
        <v>62</v>
      </c>
      <c r="N132">
        <v>3</v>
      </c>
      <c r="O132">
        <v>5</v>
      </c>
      <c r="P132" s="1" t="s">
        <v>29</v>
      </c>
      <c r="Q132">
        <f>COUNTIF($A$2:$A132,$A132)</f>
        <v>1</v>
      </c>
    </row>
    <row r="133" spans="1:17" x14ac:dyDescent="0.3">
      <c r="A133" s="1" t="s">
        <v>280</v>
      </c>
      <c r="B133">
        <v>46266</v>
      </c>
      <c r="C133" s="1" t="s">
        <v>231</v>
      </c>
      <c r="D133">
        <v>59</v>
      </c>
      <c r="E133" s="1" t="s">
        <v>38</v>
      </c>
      <c r="F133" s="1" t="s">
        <v>39</v>
      </c>
      <c r="G133" s="1" t="s">
        <v>20</v>
      </c>
      <c r="H133" s="1" t="s">
        <v>178</v>
      </c>
      <c r="I133">
        <v>3</v>
      </c>
      <c r="J133">
        <v>7344.72</v>
      </c>
      <c r="K133">
        <v>0</v>
      </c>
      <c r="L133">
        <v>22034.16</v>
      </c>
      <c r="M133" s="1" t="s">
        <v>35</v>
      </c>
      <c r="N133">
        <v>3</v>
      </c>
      <c r="O133">
        <v>2</v>
      </c>
      <c r="P133" s="1" t="s">
        <v>29</v>
      </c>
      <c r="Q133">
        <f>COUNTIF($A$2:$A133,$A133)</f>
        <v>1</v>
      </c>
    </row>
    <row r="134" spans="1:17" x14ac:dyDescent="0.3">
      <c r="A134" s="1" t="s">
        <v>281</v>
      </c>
      <c r="B134">
        <v>46228</v>
      </c>
      <c r="C134" s="1" t="s">
        <v>282</v>
      </c>
      <c r="D134">
        <v>39</v>
      </c>
      <c r="E134" s="1" t="s">
        <v>68</v>
      </c>
      <c r="F134" s="1" t="s">
        <v>55</v>
      </c>
      <c r="G134" s="1" t="s">
        <v>20</v>
      </c>
      <c r="H134" s="1" t="s">
        <v>132</v>
      </c>
      <c r="I134">
        <v>4</v>
      </c>
      <c r="J134">
        <v>3198.37</v>
      </c>
      <c r="K134">
        <v>25</v>
      </c>
      <c r="L134">
        <v>9595.11</v>
      </c>
      <c r="M134" s="1" t="s">
        <v>22</v>
      </c>
      <c r="N134">
        <v>3</v>
      </c>
      <c r="O134">
        <v>2</v>
      </c>
      <c r="P134" s="1" t="s">
        <v>29</v>
      </c>
      <c r="Q134">
        <f>COUNTIF($A$2:$A134,$A134)</f>
        <v>1</v>
      </c>
    </row>
    <row r="135" spans="1:17" x14ac:dyDescent="0.3">
      <c r="A135" s="1" t="s">
        <v>283</v>
      </c>
      <c r="B135">
        <v>46244</v>
      </c>
      <c r="C135" s="1" t="s">
        <v>220</v>
      </c>
      <c r="D135">
        <v>36</v>
      </c>
      <c r="E135" s="1" t="s">
        <v>18</v>
      </c>
      <c r="F135" s="1" t="s">
        <v>32</v>
      </c>
      <c r="G135" s="1" t="s">
        <v>33</v>
      </c>
      <c r="H135" s="1" t="s">
        <v>43</v>
      </c>
      <c r="I135">
        <v>1</v>
      </c>
      <c r="J135">
        <v>2867.97</v>
      </c>
      <c r="K135">
        <v>5</v>
      </c>
      <c r="L135">
        <v>2724.57</v>
      </c>
      <c r="M135" s="1" t="s">
        <v>35</v>
      </c>
      <c r="O135">
        <v>7</v>
      </c>
      <c r="P135" s="1" t="s">
        <v>29</v>
      </c>
      <c r="Q135">
        <f>COUNTIF($A$2:$A135,$A135)</f>
        <v>1</v>
      </c>
    </row>
    <row r="136" spans="1:17" x14ac:dyDescent="0.3">
      <c r="A136" s="1" t="s">
        <v>284</v>
      </c>
      <c r="B136">
        <v>46203</v>
      </c>
      <c r="C136" s="1" t="s">
        <v>138</v>
      </c>
      <c r="D136">
        <v>40</v>
      </c>
      <c r="E136" s="1" t="s">
        <v>38</v>
      </c>
      <c r="F136" s="1" t="s">
        <v>55</v>
      </c>
      <c r="G136" s="1" t="s">
        <v>40</v>
      </c>
      <c r="H136" s="1" t="s">
        <v>200</v>
      </c>
      <c r="I136">
        <v>3</v>
      </c>
      <c r="J136">
        <v>5478.75</v>
      </c>
      <c r="K136">
        <v>25</v>
      </c>
      <c r="L136">
        <v>12327.19</v>
      </c>
      <c r="M136" s="1" t="s">
        <v>62</v>
      </c>
      <c r="N136">
        <v>1</v>
      </c>
      <c r="O136">
        <v>7</v>
      </c>
      <c r="P136" s="1" t="s">
        <v>29</v>
      </c>
      <c r="Q136">
        <f>COUNTIF($A$2:$A136,$A136)</f>
        <v>1</v>
      </c>
    </row>
    <row r="137" spans="1:17" x14ac:dyDescent="0.3">
      <c r="A137" s="1" t="s">
        <v>285</v>
      </c>
      <c r="B137">
        <v>46105</v>
      </c>
      <c r="C137" s="1" t="s">
        <v>286</v>
      </c>
      <c r="D137">
        <v>56</v>
      </c>
      <c r="E137" s="1" t="s">
        <v>38</v>
      </c>
      <c r="F137" s="1" t="s">
        <v>19</v>
      </c>
      <c r="G137" s="1" t="s">
        <v>46</v>
      </c>
      <c r="H137" s="1" t="s">
        <v>198</v>
      </c>
      <c r="I137">
        <v>1</v>
      </c>
      <c r="J137">
        <v>1177.81</v>
      </c>
      <c r="K137">
        <v>0</v>
      </c>
      <c r="L137">
        <v>1177.81</v>
      </c>
      <c r="M137" s="1" t="s">
        <v>35</v>
      </c>
      <c r="N137">
        <v>3</v>
      </c>
      <c r="O137">
        <v>7</v>
      </c>
      <c r="P137" s="1" t="s">
        <v>29</v>
      </c>
      <c r="Q137">
        <f>COUNTIF($A$2:$A137,$A137)</f>
        <v>1</v>
      </c>
    </row>
    <row r="138" spans="1:17" x14ac:dyDescent="0.3">
      <c r="A138" s="1" t="s">
        <v>287</v>
      </c>
      <c r="B138">
        <v>46102</v>
      </c>
      <c r="C138" s="1" t="s">
        <v>152</v>
      </c>
      <c r="D138">
        <v>41</v>
      </c>
      <c r="E138" s="1" t="s">
        <v>68</v>
      </c>
      <c r="F138" s="1" t="s">
        <v>55</v>
      </c>
      <c r="G138" s="1" t="s">
        <v>72</v>
      </c>
      <c r="H138" s="1" t="s">
        <v>83</v>
      </c>
      <c r="I138">
        <v>5</v>
      </c>
      <c r="J138">
        <v>1273.8900000000001</v>
      </c>
      <c r="K138">
        <v>5</v>
      </c>
      <c r="L138">
        <v>6050.98</v>
      </c>
      <c r="M138" s="1" t="s">
        <v>80</v>
      </c>
      <c r="N138">
        <v>3</v>
      </c>
      <c r="O138">
        <v>5</v>
      </c>
      <c r="P138" s="1" t="s">
        <v>29</v>
      </c>
      <c r="Q138">
        <f>COUNTIF($A$2:$A138,$A138)</f>
        <v>1</v>
      </c>
    </row>
    <row r="139" spans="1:17" x14ac:dyDescent="0.3">
      <c r="A139" s="1" t="s">
        <v>288</v>
      </c>
      <c r="B139">
        <v>46037</v>
      </c>
      <c r="C139" s="1" t="s">
        <v>181</v>
      </c>
      <c r="D139">
        <v>51</v>
      </c>
      <c r="E139" s="1" t="s">
        <v>68</v>
      </c>
      <c r="F139" s="1" t="s">
        <v>71</v>
      </c>
      <c r="G139" s="1" t="s">
        <v>72</v>
      </c>
      <c r="H139" s="1" t="s">
        <v>73</v>
      </c>
      <c r="I139">
        <v>1</v>
      </c>
      <c r="J139">
        <v>2313.69</v>
      </c>
      <c r="K139">
        <v>5</v>
      </c>
      <c r="L139">
        <v>2198.0100000000002</v>
      </c>
      <c r="M139" s="1" t="s">
        <v>80</v>
      </c>
      <c r="N139">
        <v>2</v>
      </c>
      <c r="O139">
        <v>5</v>
      </c>
      <c r="P139" s="1" t="s">
        <v>29</v>
      </c>
      <c r="Q139">
        <f>COUNTIF($A$2:$A139,$A139)</f>
        <v>1</v>
      </c>
    </row>
    <row r="140" spans="1:17" x14ac:dyDescent="0.3">
      <c r="A140" s="1" t="s">
        <v>289</v>
      </c>
      <c r="B140">
        <v>46126</v>
      </c>
      <c r="C140" s="1" t="s">
        <v>187</v>
      </c>
      <c r="D140">
        <v>22</v>
      </c>
      <c r="E140" s="1" t="s">
        <v>38</v>
      </c>
      <c r="F140" s="1" t="s">
        <v>90</v>
      </c>
      <c r="G140" s="1" t="s">
        <v>72</v>
      </c>
      <c r="H140" s="1" t="s">
        <v>103</v>
      </c>
      <c r="I140">
        <v>4</v>
      </c>
      <c r="J140">
        <v>8477.06</v>
      </c>
      <c r="K140">
        <v>25</v>
      </c>
      <c r="L140">
        <v>25431.18</v>
      </c>
      <c r="M140" s="1" t="s">
        <v>35</v>
      </c>
      <c r="N140">
        <v>5</v>
      </c>
      <c r="O140">
        <v>6</v>
      </c>
      <c r="P140" s="1" t="s">
        <v>29</v>
      </c>
      <c r="Q140">
        <f>COUNTIF($A$2:$A140,$A140)</f>
        <v>1</v>
      </c>
    </row>
    <row r="141" spans="1:17" x14ac:dyDescent="0.3">
      <c r="A141" s="1" t="s">
        <v>290</v>
      </c>
      <c r="B141">
        <v>46172</v>
      </c>
      <c r="C141" s="1" t="s">
        <v>50</v>
      </c>
      <c r="D141">
        <v>62</v>
      </c>
      <c r="E141" s="1" t="s">
        <v>38</v>
      </c>
      <c r="F141" s="1" t="s">
        <v>39</v>
      </c>
      <c r="G141" s="1" t="s">
        <v>46</v>
      </c>
      <c r="H141" s="1" t="s">
        <v>122</v>
      </c>
      <c r="I141">
        <v>3</v>
      </c>
      <c r="J141">
        <v>4383.37</v>
      </c>
      <c r="K141">
        <v>0</v>
      </c>
      <c r="L141">
        <v>13150.11</v>
      </c>
      <c r="M141" s="1" t="s">
        <v>48</v>
      </c>
      <c r="N141">
        <v>5</v>
      </c>
      <c r="O141">
        <v>3</v>
      </c>
      <c r="P141" s="1" t="s">
        <v>29</v>
      </c>
      <c r="Q141">
        <f>COUNTIF($A$2:$A141,$A141)</f>
        <v>1</v>
      </c>
    </row>
    <row r="142" spans="1:17" x14ac:dyDescent="0.3">
      <c r="A142" s="1" t="s">
        <v>291</v>
      </c>
      <c r="B142">
        <v>46037</v>
      </c>
      <c r="C142" s="1" t="s">
        <v>214</v>
      </c>
      <c r="D142">
        <v>54</v>
      </c>
      <c r="E142" s="1" t="s">
        <v>18</v>
      </c>
      <c r="F142" s="1" t="s">
        <v>51</v>
      </c>
      <c r="G142" s="1" t="s">
        <v>33</v>
      </c>
      <c r="H142" s="1" t="s">
        <v>87</v>
      </c>
      <c r="I142">
        <v>5</v>
      </c>
      <c r="J142">
        <v>1207.48</v>
      </c>
      <c r="K142">
        <v>0</v>
      </c>
      <c r="L142">
        <v>6037.4</v>
      </c>
      <c r="M142" s="1" t="s">
        <v>62</v>
      </c>
      <c r="N142">
        <v>3</v>
      </c>
      <c r="O142">
        <v>7</v>
      </c>
      <c r="P142" s="1" t="s">
        <v>29</v>
      </c>
      <c r="Q142">
        <f>COUNTIF($A$2:$A142,$A142)</f>
        <v>1</v>
      </c>
    </row>
    <row r="143" spans="1:17" x14ac:dyDescent="0.3">
      <c r="A143" s="1" t="s">
        <v>292</v>
      </c>
      <c r="B143">
        <v>46269</v>
      </c>
      <c r="C143" s="1" t="s">
        <v>293</v>
      </c>
      <c r="D143">
        <v>54</v>
      </c>
      <c r="E143" s="1" t="s">
        <v>68</v>
      </c>
      <c r="F143" s="1" t="s">
        <v>99</v>
      </c>
      <c r="G143" s="1" t="s">
        <v>27</v>
      </c>
      <c r="H143" s="1" t="s">
        <v>58</v>
      </c>
      <c r="I143">
        <v>3</v>
      </c>
      <c r="J143">
        <v>5502.8</v>
      </c>
      <c r="K143">
        <v>10</v>
      </c>
      <c r="L143">
        <v>14857.56</v>
      </c>
      <c r="M143" s="1" t="s">
        <v>80</v>
      </c>
      <c r="N143">
        <v>5</v>
      </c>
      <c r="O143">
        <v>9</v>
      </c>
      <c r="P143" s="1" t="s">
        <v>29</v>
      </c>
      <c r="Q143">
        <f>COUNTIF($A$2:$A143,$A143)</f>
        <v>1</v>
      </c>
    </row>
    <row r="144" spans="1:17" x14ac:dyDescent="0.3">
      <c r="A144" s="1" t="s">
        <v>294</v>
      </c>
      <c r="B144">
        <v>46117</v>
      </c>
      <c r="C144" s="1" t="s">
        <v>267</v>
      </c>
      <c r="D144">
        <v>50</v>
      </c>
      <c r="E144" s="1" t="s">
        <v>68</v>
      </c>
      <c r="F144" s="1" t="s">
        <v>32</v>
      </c>
      <c r="G144" s="1" t="s">
        <v>27</v>
      </c>
      <c r="H144" s="1" t="s">
        <v>295</v>
      </c>
      <c r="I144">
        <v>5</v>
      </c>
      <c r="J144">
        <v>1402.27</v>
      </c>
      <c r="K144" t="s">
        <v>84</v>
      </c>
      <c r="M144" s="1" t="s">
        <v>48</v>
      </c>
      <c r="N144">
        <v>3</v>
      </c>
      <c r="O144">
        <v>4</v>
      </c>
      <c r="P144" s="1" t="s">
        <v>29</v>
      </c>
      <c r="Q144">
        <f>COUNTIF($A$2:$A144,$A144)</f>
        <v>1</v>
      </c>
    </row>
    <row r="145" spans="1:17" x14ac:dyDescent="0.3">
      <c r="A145" s="1" t="s">
        <v>296</v>
      </c>
      <c r="B145">
        <v>46169</v>
      </c>
      <c r="C145" s="1" t="s">
        <v>297</v>
      </c>
      <c r="E145" s="1" t="s">
        <v>68</v>
      </c>
      <c r="F145" s="1" t="s">
        <v>90</v>
      </c>
      <c r="G145" s="1" t="s">
        <v>46</v>
      </c>
      <c r="H145" s="1" t="s">
        <v>61</v>
      </c>
      <c r="I145">
        <v>3</v>
      </c>
      <c r="J145">
        <v>1168.93</v>
      </c>
      <c r="K145">
        <v>5</v>
      </c>
      <c r="L145">
        <v>3331.45</v>
      </c>
      <c r="M145" s="1" t="s">
        <v>22</v>
      </c>
      <c r="N145">
        <v>4</v>
      </c>
      <c r="O145">
        <v>2</v>
      </c>
      <c r="P145" s="1" t="s">
        <v>29</v>
      </c>
      <c r="Q145">
        <f>COUNTIF($A$2:$A145,$A145)</f>
        <v>1</v>
      </c>
    </row>
    <row r="146" spans="1:17" x14ac:dyDescent="0.3">
      <c r="A146" s="1" t="s">
        <v>298</v>
      </c>
      <c r="B146">
        <v>46102</v>
      </c>
      <c r="C146" s="1" t="s">
        <v>299</v>
      </c>
      <c r="D146">
        <v>57</v>
      </c>
      <c r="E146" s="1" t="s">
        <v>18</v>
      </c>
      <c r="F146" s="1" t="s">
        <v>32</v>
      </c>
      <c r="G146" s="1" t="s">
        <v>46</v>
      </c>
      <c r="H146" s="1" t="s">
        <v>61</v>
      </c>
      <c r="I146">
        <v>3</v>
      </c>
      <c r="J146">
        <v>7180.4</v>
      </c>
      <c r="K146">
        <v>15</v>
      </c>
      <c r="L146">
        <v>18310.02</v>
      </c>
      <c r="M146" s="1" t="s">
        <v>62</v>
      </c>
      <c r="N146">
        <v>5</v>
      </c>
      <c r="O146">
        <v>1</v>
      </c>
      <c r="P146" s="1" t="s">
        <v>23</v>
      </c>
      <c r="Q146">
        <f>COUNTIF($A$2:$A146,$A146)</f>
        <v>1</v>
      </c>
    </row>
    <row r="147" spans="1:17" x14ac:dyDescent="0.3">
      <c r="A147" s="1" t="s">
        <v>300</v>
      </c>
      <c r="B147">
        <v>46159</v>
      </c>
      <c r="C147" s="1" t="s">
        <v>252</v>
      </c>
      <c r="D147">
        <v>44</v>
      </c>
      <c r="E147" s="1" t="s">
        <v>18</v>
      </c>
      <c r="F147" s="1" t="s">
        <v>26</v>
      </c>
      <c r="G147" s="1" t="s">
        <v>40</v>
      </c>
      <c r="H147" s="1" t="s">
        <v>41</v>
      </c>
      <c r="I147">
        <v>4</v>
      </c>
      <c r="J147">
        <v>7569.79</v>
      </c>
      <c r="K147">
        <v>15</v>
      </c>
      <c r="L147">
        <v>25737.29</v>
      </c>
      <c r="M147" s="1" t="s">
        <v>35</v>
      </c>
      <c r="N147">
        <v>5</v>
      </c>
      <c r="O147">
        <v>5</v>
      </c>
      <c r="P147" s="1" t="s">
        <v>29</v>
      </c>
      <c r="Q147">
        <f>COUNTIF($A$2:$A147,$A147)</f>
        <v>1</v>
      </c>
    </row>
    <row r="148" spans="1:17" x14ac:dyDescent="0.3">
      <c r="A148" s="1" t="s">
        <v>301</v>
      </c>
      <c r="B148">
        <v>46231</v>
      </c>
      <c r="C148" s="1" t="s">
        <v>93</v>
      </c>
      <c r="D148">
        <v>22</v>
      </c>
      <c r="E148" s="1" t="s">
        <v>68</v>
      </c>
      <c r="F148" s="1" t="s">
        <v>39</v>
      </c>
      <c r="G148" s="1" t="s">
        <v>46</v>
      </c>
      <c r="H148" s="1" t="s">
        <v>47</v>
      </c>
      <c r="I148">
        <v>2</v>
      </c>
      <c r="J148">
        <v>3803.89</v>
      </c>
      <c r="K148">
        <v>10</v>
      </c>
      <c r="L148">
        <v>6847</v>
      </c>
      <c r="M148" s="1" t="s">
        <v>80</v>
      </c>
      <c r="N148">
        <v>2</v>
      </c>
      <c r="O148">
        <v>6</v>
      </c>
      <c r="P148" s="1" t="s">
        <v>29</v>
      </c>
      <c r="Q148">
        <f>COUNTIF($A$2:$A148,$A148)</f>
        <v>1</v>
      </c>
    </row>
    <row r="149" spans="1:17" x14ac:dyDescent="0.3">
      <c r="A149" s="1" t="s">
        <v>302</v>
      </c>
      <c r="B149">
        <v>46187</v>
      </c>
      <c r="C149" s="1" t="s">
        <v>303</v>
      </c>
      <c r="D149">
        <v>26</v>
      </c>
      <c r="E149" s="1" t="s">
        <v>68</v>
      </c>
      <c r="F149" s="1" t="s">
        <v>51</v>
      </c>
      <c r="G149" s="1" t="s">
        <v>33</v>
      </c>
      <c r="H149" s="1" t="s">
        <v>112</v>
      </c>
      <c r="I149">
        <v>5</v>
      </c>
      <c r="J149">
        <v>1009.82</v>
      </c>
      <c r="K149">
        <v>0</v>
      </c>
      <c r="L149">
        <v>5049.1000000000004</v>
      </c>
      <c r="M149" s="1" t="s">
        <v>80</v>
      </c>
      <c r="N149">
        <v>1</v>
      </c>
      <c r="O149">
        <v>5</v>
      </c>
      <c r="P149" s="1" t="s">
        <v>29</v>
      </c>
      <c r="Q149">
        <f>COUNTIF($A$2:$A149,$A149)</f>
        <v>1</v>
      </c>
    </row>
    <row r="150" spans="1:17" x14ac:dyDescent="0.3">
      <c r="A150" s="1" t="s">
        <v>142</v>
      </c>
      <c r="B150">
        <v>46065</v>
      </c>
      <c r="C150" s="1" t="s">
        <v>108</v>
      </c>
      <c r="D150">
        <v>32</v>
      </c>
      <c r="E150" s="1" t="s">
        <v>38</v>
      </c>
      <c r="F150" s="1" t="s">
        <v>32</v>
      </c>
      <c r="G150" s="1" t="s">
        <v>72</v>
      </c>
      <c r="H150" s="1" t="s">
        <v>103</v>
      </c>
      <c r="I150">
        <v>2</v>
      </c>
      <c r="J150">
        <v>658.24</v>
      </c>
      <c r="K150">
        <v>10</v>
      </c>
      <c r="L150">
        <v>1184.83</v>
      </c>
      <c r="M150" s="1" t="s">
        <v>35</v>
      </c>
      <c r="N150">
        <v>4</v>
      </c>
      <c r="O150">
        <v>8</v>
      </c>
      <c r="P150" s="1" t="s">
        <v>29</v>
      </c>
      <c r="Q150">
        <f>COUNTIF($A$2:$A150,$A150)</f>
        <v>2</v>
      </c>
    </row>
    <row r="151" spans="1:17" x14ac:dyDescent="0.3">
      <c r="A151" s="1" t="s">
        <v>304</v>
      </c>
      <c r="B151">
        <v>46279</v>
      </c>
      <c r="C151" s="1" t="s">
        <v>305</v>
      </c>
      <c r="D151">
        <v>37</v>
      </c>
      <c r="E151" s="1" t="s">
        <v>68</v>
      </c>
      <c r="F151" s="1" t="s">
        <v>55</v>
      </c>
      <c r="G151" s="1" t="s">
        <v>72</v>
      </c>
      <c r="H151" s="1" t="s">
        <v>83</v>
      </c>
      <c r="I151">
        <v>1</v>
      </c>
      <c r="J151">
        <v>8041.05</v>
      </c>
      <c r="K151">
        <v>15</v>
      </c>
      <c r="L151">
        <v>6834.89</v>
      </c>
      <c r="M151" s="1" t="s">
        <v>80</v>
      </c>
      <c r="N151">
        <v>2</v>
      </c>
      <c r="O151">
        <v>4</v>
      </c>
      <c r="P151" s="1"/>
      <c r="Q151">
        <f>COUNTIF($A$2:$A151,$A151)</f>
        <v>1</v>
      </c>
    </row>
  </sheetData>
  <phoneticPr fontId="4" type="noConversion"/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436E-2784-4574-B28D-C97C74FA849C}">
  <dimension ref="A1:Q26"/>
  <sheetViews>
    <sheetView tabSelected="1" workbookViewId="0">
      <selection activeCell="G19" sqref="G19:Q26"/>
    </sheetView>
  </sheetViews>
  <sheetFormatPr defaultRowHeight="14.4" x14ac:dyDescent="0.3"/>
  <cols>
    <col min="1" max="1" width="17.33203125" bestFit="1" customWidth="1"/>
    <col min="2" max="2" width="12.5546875" bestFit="1" customWidth="1"/>
    <col min="3" max="3" width="18.109375" bestFit="1" customWidth="1"/>
    <col min="4" max="4" width="13.88671875" bestFit="1" customWidth="1"/>
    <col min="5" max="5" width="9.21875" bestFit="1" customWidth="1"/>
    <col min="8" max="8" width="10.109375" bestFit="1" customWidth="1"/>
  </cols>
  <sheetData>
    <row r="1" spans="1:8" x14ac:dyDescent="0.3">
      <c r="A1" s="2" t="s">
        <v>306</v>
      </c>
      <c r="B1" s="2" t="s">
        <v>307</v>
      </c>
      <c r="C1" s="2" t="s">
        <v>308</v>
      </c>
      <c r="D1" s="2" t="s">
        <v>309</v>
      </c>
      <c r="E1" s="2" t="s">
        <v>310</v>
      </c>
    </row>
    <row r="2" spans="1:8" x14ac:dyDescent="0.3">
      <c r="A2" s="3" t="s">
        <v>0</v>
      </c>
      <c r="B2" s="5">
        <f>COUNTBLANK(Orders[Order_ID])</f>
        <v>0</v>
      </c>
      <c r="C2" s="5" cm="1">
        <f t="array" ref="C2">SUMPRODUCT(COUNTIF(Orders[Order_ID],$H$2:$H$4))</f>
        <v>0</v>
      </c>
      <c r="D2" s="5">
        <f>B2+C2</f>
        <v>0</v>
      </c>
      <c r="E2" s="6">
        <f>D2/150</f>
        <v>0</v>
      </c>
      <c r="H2" s="4" t="s">
        <v>71</v>
      </c>
    </row>
    <row r="3" spans="1:8" x14ac:dyDescent="0.3">
      <c r="A3" s="3" t="s">
        <v>1</v>
      </c>
      <c r="B3" s="5">
        <f>COUNTBLANK(Orders[Order_Date])</f>
        <v>0</v>
      </c>
      <c r="C3" s="5" cm="1">
        <f t="array" ref="C3">SUMPRODUCT(COUNTIF(Orders[Order_Date],$H$2:$H$4))</f>
        <v>0</v>
      </c>
      <c r="D3" s="5">
        <f t="shared" ref="D3:D17" si="0">B3+C3</f>
        <v>0</v>
      </c>
      <c r="E3" s="6">
        <f t="shared" ref="E3:E18" si="1">D3/150</f>
        <v>0</v>
      </c>
      <c r="H3" s="4" t="s">
        <v>84</v>
      </c>
    </row>
    <row r="4" spans="1:8" x14ac:dyDescent="0.3">
      <c r="A4" s="3" t="s">
        <v>2</v>
      </c>
      <c r="B4" s="5">
        <f>COUNTBLANK(Orders[Customer_ID])</f>
        <v>0</v>
      </c>
      <c r="C4" s="5" cm="1">
        <f t="array" ref="C4">SUMPRODUCT(COUNTIF(Orders[Customer_ID],$H$2:$H$4))</f>
        <v>0</v>
      </c>
      <c r="D4" s="5">
        <f t="shared" si="0"/>
        <v>0</v>
      </c>
      <c r="E4" s="6">
        <f t="shared" si="1"/>
        <v>0</v>
      </c>
      <c r="H4" s="4" t="s">
        <v>109</v>
      </c>
    </row>
    <row r="5" spans="1:8" x14ac:dyDescent="0.3">
      <c r="A5" s="3" t="s">
        <v>3</v>
      </c>
      <c r="B5" s="5">
        <f>COUNTBLANK(Orders[Customer_Age])</f>
        <v>7</v>
      </c>
      <c r="C5" s="5" cm="1">
        <f t="array" ref="C5">SUMPRODUCT(COUNTIF(Orders[Customer_Age],$H$2:$H$4))</f>
        <v>0</v>
      </c>
      <c r="D5" s="5">
        <f t="shared" si="0"/>
        <v>7</v>
      </c>
      <c r="E5" s="6">
        <f t="shared" si="1"/>
        <v>4.6666666666666669E-2</v>
      </c>
    </row>
    <row r="6" spans="1:8" x14ac:dyDescent="0.3">
      <c r="A6" s="3" t="s">
        <v>4</v>
      </c>
      <c r="B6" s="5">
        <f>COUNTBLANK(Orders[Gender])</f>
        <v>6</v>
      </c>
      <c r="C6" s="5" cm="1">
        <f t="array" ref="C6">SUMPRODUCT(COUNTIF(Orders[Gender],$H$2:$H$4))</f>
        <v>0</v>
      </c>
      <c r="D6" s="5">
        <f t="shared" si="0"/>
        <v>6</v>
      </c>
      <c r="E6" s="6">
        <f t="shared" si="1"/>
        <v>0.04</v>
      </c>
    </row>
    <row r="7" spans="1:8" x14ac:dyDescent="0.3">
      <c r="A7" s="3" t="s">
        <v>5</v>
      </c>
      <c r="B7" s="5">
        <f>COUNTBLANK(Orders[City])</f>
        <v>0</v>
      </c>
      <c r="C7" s="5" cm="1">
        <f t="array" ref="C7">SUMPRODUCT(COUNTIF(Orders[City],$H$2:$H$4))</f>
        <v>5</v>
      </c>
      <c r="D7" s="5">
        <f t="shared" si="0"/>
        <v>5</v>
      </c>
      <c r="E7" s="6">
        <f t="shared" si="1"/>
        <v>3.3333333333333333E-2</v>
      </c>
    </row>
    <row r="8" spans="1:8" x14ac:dyDescent="0.3">
      <c r="A8" s="3" t="s">
        <v>6</v>
      </c>
      <c r="B8" s="5">
        <f>COUNTBLANK(Orders[Product_Category])</f>
        <v>4</v>
      </c>
      <c r="C8" s="5" cm="1">
        <f t="array" ref="C8">SUMPRODUCT(COUNTIF(Orders[Product_Category],$H$2:$H$4))</f>
        <v>0</v>
      </c>
      <c r="D8" s="5">
        <f t="shared" si="0"/>
        <v>4</v>
      </c>
      <c r="E8" s="6">
        <f t="shared" si="1"/>
        <v>2.6666666666666668E-2</v>
      </c>
    </row>
    <row r="9" spans="1:8" x14ac:dyDescent="0.3">
      <c r="A9" s="3" t="s">
        <v>7</v>
      </c>
      <c r="B9" s="5">
        <f>COUNTBLANK(Orders[Product])</f>
        <v>0</v>
      </c>
      <c r="C9" s="5" cm="1">
        <f t="array" ref="C9">SUMPRODUCT(COUNTIF(Orders[Product],$H$2:$H$4))</f>
        <v>0</v>
      </c>
      <c r="D9" s="5">
        <f t="shared" si="0"/>
        <v>0</v>
      </c>
      <c r="E9" s="6">
        <f t="shared" si="1"/>
        <v>0</v>
      </c>
    </row>
    <row r="10" spans="1:8" x14ac:dyDescent="0.3">
      <c r="A10" s="3" t="s">
        <v>8</v>
      </c>
      <c r="B10" s="5">
        <f>COUNTBLANK(Orders[Quantity])</f>
        <v>0</v>
      </c>
      <c r="C10" s="5" cm="1">
        <f t="array" ref="C10">SUMPRODUCT(COUNTIF(Orders[Quantity],$H$2:$H$4))</f>
        <v>0</v>
      </c>
      <c r="D10" s="5">
        <f t="shared" si="0"/>
        <v>0</v>
      </c>
      <c r="E10" s="6">
        <f t="shared" si="1"/>
        <v>0</v>
      </c>
    </row>
    <row r="11" spans="1:8" x14ac:dyDescent="0.3">
      <c r="A11" s="3" t="s">
        <v>9</v>
      </c>
      <c r="B11" s="5">
        <f>COUNTBLANK(Orders[Unit_Price])</f>
        <v>5</v>
      </c>
      <c r="C11" s="5" cm="1">
        <f t="array" ref="C11">SUMPRODUCT(COUNTIF(Orders[Unit_Price],$H$2:$H$4))</f>
        <v>0</v>
      </c>
      <c r="D11" s="5">
        <f t="shared" si="0"/>
        <v>5</v>
      </c>
      <c r="E11" s="6">
        <f t="shared" si="1"/>
        <v>3.3333333333333333E-2</v>
      </c>
    </row>
    <row r="12" spans="1:8" x14ac:dyDescent="0.3">
      <c r="A12" s="3" t="s">
        <v>10</v>
      </c>
      <c r="B12" s="5">
        <f>COUNTBLANK(Orders[Discount_Pct])</f>
        <v>0</v>
      </c>
      <c r="C12" s="5" cm="1">
        <f t="array" ref="C12">SUMPRODUCT(COUNTIF(Orders[Discount_Pct],$H$2:$H$4))</f>
        <v>5</v>
      </c>
      <c r="D12" s="5">
        <f t="shared" si="0"/>
        <v>5</v>
      </c>
      <c r="E12" s="6">
        <f t="shared" si="1"/>
        <v>3.3333333333333333E-2</v>
      </c>
    </row>
    <row r="13" spans="1:8" x14ac:dyDescent="0.3">
      <c r="A13" s="3" t="s">
        <v>11</v>
      </c>
      <c r="B13" s="5">
        <f>COUNTBLANK(Orders[Total_Amount])</f>
        <v>10</v>
      </c>
      <c r="C13" s="5" cm="1">
        <f t="array" ref="C13">SUMPRODUCT(COUNTIF(Orders[Total_Amount],$H$2:$H$4))</f>
        <v>0</v>
      </c>
      <c r="D13" s="5">
        <f t="shared" si="0"/>
        <v>10</v>
      </c>
      <c r="E13" s="6">
        <f t="shared" si="1"/>
        <v>6.6666666666666666E-2</v>
      </c>
    </row>
    <row r="14" spans="1:8" x14ac:dyDescent="0.3">
      <c r="A14" s="3" t="s">
        <v>12</v>
      </c>
      <c r="B14" s="5">
        <f>COUNTBLANK(Orders[Payment_Method])</f>
        <v>0</v>
      </c>
      <c r="C14" s="5" cm="1">
        <f t="array" ref="C14">SUMPRODUCT(COUNTIF(Orders[Payment_Method],$H$2:$H$4))</f>
        <v>4</v>
      </c>
      <c r="D14" s="5">
        <f t="shared" si="0"/>
        <v>4</v>
      </c>
      <c r="E14" s="6">
        <f t="shared" si="1"/>
        <v>2.6666666666666668E-2</v>
      </c>
    </row>
    <row r="15" spans="1:8" x14ac:dyDescent="0.3">
      <c r="A15" s="3" t="s">
        <v>13</v>
      </c>
      <c r="B15" s="5">
        <f>COUNTBLANK(Orders[Customer_Rating])</f>
        <v>4</v>
      </c>
      <c r="C15" s="5" cm="1">
        <f t="array" ref="C15">SUMPRODUCT(COUNTIF(Orders[Customer_Rating],$H$2:$H$4))</f>
        <v>0</v>
      </c>
      <c r="D15" s="5">
        <f t="shared" si="0"/>
        <v>4</v>
      </c>
      <c r="E15" s="6">
        <f t="shared" si="1"/>
        <v>2.6666666666666668E-2</v>
      </c>
    </row>
    <row r="16" spans="1:8" x14ac:dyDescent="0.3">
      <c r="A16" s="3" t="s">
        <v>14</v>
      </c>
      <c r="B16" s="5">
        <f>COUNTBLANK(Orders[Delivery_Days])</f>
        <v>5</v>
      </c>
      <c r="C16" s="5" cm="1">
        <f t="array" ref="C16">SUMPRODUCT(COUNTIF(Orders[Delivery_Days],$H$2:$H$4))</f>
        <v>0</v>
      </c>
      <c r="D16" s="5">
        <f t="shared" si="0"/>
        <v>5</v>
      </c>
      <c r="E16" s="6">
        <f t="shared" si="1"/>
        <v>3.3333333333333333E-2</v>
      </c>
    </row>
    <row r="17" spans="1:17" x14ac:dyDescent="0.3">
      <c r="A17" s="3" t="s">
        <v>15</v>
      </c>
      <c r="B17" s="5">
        <f>COUNTBLANK(Orders[Returned])</f>
        <v>4</v>
      </c>
      <c r="C17" s="5" cm="1">
        <f t="array" ref="C17">SUMPRODUCT(COUNTIF(Orders[Returned],$H$2:$H$4))</f>
        <v>0</v>
      </c>
      <c r="D17" s="5">
        <f t="shared" si="0"/>
        <v>4</v>
      </c>
      <c r="E17" s="6">
        <f t="shared" si="1"/>
        <v>2.6666666666666668E-2</v>
      </c>
    </row>
    <row r="18" spans="1:17" x14ac:dyDescent="0.3">
      <c r="A18" s="7" t="s">
        <v>312</v>
      </c>
      <c r="B18" s="8">
        <f>SUBTOTAL(9,B2:B17)</f>
        <v>45</v>
      </c>
      <c r="C18" s="8">
        <f>SUBTOTAL(9,C2:C17)</f>
        <v>14</v>
      </c>
      <c r="D18" s="8">
        <f>SUBTOTAL(9,D2:D17)</f>
        <v>59</v>
      </c>
      <c r="E18" s="9">
        <f>SUBTOTAL(9,E2:E17)</f>
        <v>0.39333333333333331</v>
      </c>
    </row>
    <row r="19" spans="1:17" x14ac:dyDescent="0.3">
      <c r="G19" s="11" t="s">
        <v>313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3"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x14ac:dyDescent="0.3"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x14ac:dyDescent="0.3"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x14ac:dyDescent="0.3"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 x14ac:dyDescent="0.3"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x14ac:dyDescent="0.3"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x14ac:dyDescent="0.3"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</sheetData>
  <mergeCells count="1">
    <mergeCell ref="G19:Q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9EAB30-7835-4F38-818C-65649058B4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Work</vt:lpstr>
      <vt:lpstr>Missing-Audit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 PRASANNA  DINAKARA PRABHAVATHI</dc:creator>
  <cp:lastModifiedBy>SHETTY PRASANNA  DINAKARA PRABHAVATHI</cp:lastModifiedBy>
  <dcterms:created xsi:type="dcterms:W3CDTF">2026-09-19T05:43:08Z</dcterms:created>
  <dcterms:modified xsi:type="dcterms:W3CDTF">2026-09-19T09:10:14Z</dcterms:modified>
</cp:coreProperties>
</file>